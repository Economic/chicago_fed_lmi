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545AF740-A6E1-44B6-8C1C-C6433580B8A6}" xr6:coauthVersionLast="47" xr6:coauthVersionMax="47" xr10:uidLastSave="{00000000-0000-0000-0000-000000000000}"/>
  <bookViews>
    <workbookView xWindow="-105" yWindow="0" windowWidth="26010" windowHeight="20985" activeTab="4" xr2:uid="{00000000-000D-0000-FFFF-FFFF00000000}"/>
  </bookViews>
  <sheets>
    <sheet name="Contents" sheetId="5" r:id="rId1"/>
    <sheet name="1. Rates" sheetId="7" r:id="rId2"/>
    <sheet name="2. Chicago Fed Real-Time UR" sheetId="8" r:id="rId3"/>
    <sheet name="3. Real-Time UR Contributions" sheetId="11" r:id="rId4"/>
    <sheet name="4. Real-Time UR Probs" sheetId="9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9" l="1"/>
  <c r="K2" i="9"/>
  <c r="L2" i="9"/>
</calcChain>
</file>

<file path=xl/sharedStrings.xml><?xml version="1.0" encoding="utf-8"?>
<sst xmlns="http://schemas.openxmlformats.org/spreadsheetml/2006/main" count="109" uniqueCount="89">
  <si>
    <t>Key</t>
  </si>
  <si>
    <t>Advance</t>
  </si>
  <si>
    <t>Final</t>
  </si>
  <si>
    <t>Chicago Fed Hiring Rate for Unemployed Workers</t>
  </si>
  <si>
    <t>release</t>
  </si>
  <si>
    <t>&lt;=-0.3 pp</t>
  </si>
  <si>
    <t>-0.2 pp</t>
  </si>
  <si>
    <t>-0.1 pp</t>
  </si>
  <si>
    <t>No change</t>
  </si>
  <si>
    <t>+0.1 pp</t>
  </si>
  <si>
    <t>+0.2 pp</t>
  </si>
  <si>
    <t>&gt;= 0.3 pp</t>
  </si>
  <si>
    <t>This file includes data for the Chicago Fed Labor Market Indicators release.</t>
  </si>
  <si>
    <t>layoffs_other_seps</t>
  </si>
  <si>
    <t>hiring_rate_uw</t>
  </si>
  <si>
    <t>Chicago Fed Layoffs and Other Separations Rate</t>
  </si>
  <si>
    <t>fcr</t>
  </si>
  <si>
    <t>Model-implied flow-consistent unemployment rate</t>
  </si>
  <si>
    <t>Advance or final</t>
  </si>
  <si>
    <t>Model-implied probability of a 0.2 percentage point decrease in the next BLS-reported unemployment rate</t>
  </si>
  <si>
    <t>Model-implied probability of a 0.1 percentage point decrease in the next BLS-reported unemployment rate</t>
  </si>
  <si>
    <t>Model-implied probability of no change in the next BLS-reported unemployment rate</t>
  </si>
  <si>
    <t>Model-implied probability of a 0.1 percentage point increase in the next BLS-reported unemployment rate</t>
  </si>
  <si>
    <t>Model-implied probability of a 0.2 percentage point increase in the next BLS-reported unemployment rate</t>
  </si>
  <si>
    <t>Model-implied probability of a 0.3 percentage point or greater increase in the next BLS-reported unemployment rate</t>
  </si>
  <si>
    <t>Model-implied probability of a 0.3 percentage or greater decrease in the next BLS-reported unemployment rate</t>
  </si>
  <si>
    <t>1. Rates (percent)</t>
  </si>
  <si>
    <t>2. Chicago Fed Real-Time UR Forecast (percent)</t>
  </si>
  <si>
    <t>16th percentile real-time unemployment rate forecast (advance)</t>
  </si>
  <si>
    <t>25th percentile real-time unemployment rate forecast (advance)</t>
  </si>
  <si>
    <t>50th percentile real-time unemployment rate forecast (advance) (official estimate)</t>
  </si>
  <si>
    <t>75th percentile real-time unemployment rate forecast (advance)</t>
  </si>
  <si>
    <t>84th percentile real-time unemployment rate forecast (advance)</t>
  </si>
  <si>
    <t>16th percentile real-time unemployment rate forecast (final)</t>
  </si>
  <si>
    <t>25th percentile real-time unemployment rate forecast (final)</t>
  </si>
  <si>
    <t>50th percentile real-time unemployment rate forecast (final) (official estimate)</t>
  </si>
  <si>
    <t>75th percentile real-time unemployment rate forecast (final)</t>
  </si>
  <si>
    <t>84th percentile real-time unemployment rate forecast (final)</t>
  </si>
  <si>
    <t>50th percentile real-time unemployment rate forecast for the indicated release</t>
  </si>
  <si>
    <t>Contribution to the 50th percentile real-time unemployment rate forecast by the Chicago Fed Layoffs and Other Separations Rate</t>
  </si>
  <si>
    <t>Contribution to the 50th percentile real-time unemployment rate forecast by the Chicago Fed Hiring Rate for Unemployed Workers</t>
  </si>
  <si>
    <t>3. Real-Time UR Forecast Contributions (percentage points)</t>
  </si>
  <si>
    <t>4. Real-Time UR Forecast Probabilities (percentage points)</t>
  </si>
  <si>
    <t>forecast16a</t>
  </si>
  <si>
    <t>forecast25a</t>
  </si>
  <si>
    <t>forecast50a</t>
  </si>
  <si>
    <t>forecast75a</t>
  </si>
  <si>
    <t>forecast84a</t>
  </si>
  <si>
    <t>forecast16f</t>
  </si>
  <si>
    <t>forecast25f</t>
  </si>
  <si>
    <t>forecast50f</t>
  </si>
  <si>
    <t>forecast75f</t>
  </si>
  <si>
    <t>forecast84f</t>
  </si>
  <si>
    <t>forecast50</t>
  </si>
  <si>
    <t>Forecast Contributions</t>
  </si>
  <si>
    <t>date</t>
  </si>
  <si>
    <t>Bureau of Labor Statistics reference week (endpoint)</t>
  </si>
  <si>
    <t>date</t>
  </si>
  <si>
    <t>layoffs_other_seps</t>
  </si>
  <si>
    <t>hiring_rate_uw</t>
  </si>
  <si>
    <t>fcr</t>
  </si>
  <si>
    <t>forecast16a</t>
  </si>
  <si>
    <t>forecast25a</t>
  </si>
  <si>
    <t>forecast50a</t>
  </si>
  <si>
    <t>forecast75a</t>
  </si>
  <si>
    <t>forecast84a</t>
  </si>
  <si>
    <t>forecast16f</t>
  </si>
  <si>
    <t>forecast25f</t>
  </si>
  <si>
    <t>forecast50f</t>
  </si>
  <si>
    <t>forecast75f</t>
  </si>
  <si>
    <t>forecast84f</t>
  </si>
  <si>
    <t>release</t>
  </si>
  <si>
    <t>forecast50</t>
  </si>
  <si>
    <t>advance</t>
  </si>
  <si>
    <t>final</t>
  </si>
  <si>
    <t>&lt;= -0.3 pp</t>
  </si>
  <si>
    <t>-0.2 pp</t>
  </si>
  <si>
    <t>-0.1 pp</t>
  </si>
  <si>
    <t>No change</t>
  </si>
  <si>
    <t>+0.1 pp</t>
  </si>
  <si>
    <t>+0.2 pp</t>
  </si>
  <si>
    <t>&gt;= +0.3 pp</t>
  </si>
  <si>
    <t>&lt;--- wider prediction intervals reflect 2-month forecast period since August 2025</t>
  </si>
  <si>
    <t>&lt;--- contributions to the change in the unemployment rate forecast since August 2025, the final month of pre-shutdown data</t>
  </si>
  <si>
    <t>1- Month Forecast Probabilities</t>
  </si>
  <si>
    <t>Shutdown Month Forecast Probabilities</t>
  </si>
  <si>
    <t>&lt;-- probability of 2-month changes since August 2025</t>
  </si>
  <si>
    <t>&lt;= -0.5 pp</t>
  </si>
  <si>
    <t>&gt;= +0.5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</si>
</sst>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i/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1" fillId="0" borderId="1" xfId="0" applyFont="1" applyBorder="1"/>
    <xf numFmtId="14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2" xfId="0" applyFont="1" applyBorder="1"/>
    <xf numFmtId="2" fontId="1" fillId="0" borderId="0" xfId="0" applyNumberFormat="1" applyFo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4" fontId="1" fillId="0" borderId="6" xfId="0" applyNumberFormat="1" applyFont="1" applyBorder="1"/>
    <xf numFmtId="0" fontId="1" fillId="0" borderId="6" xfId="0" applyFont="1" applyBorder="1"/>
    <xf numFmtId="164" fontId="1" fillId="0" borderId="0" xfId="0" applyNumberFormat="1" applyFont="1"/>
    <xf numFmtId="164" fontId="1" fillId="0" borderId="6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165" fontId="0" fillId="0" borderId="0" xfId="0" applyNumberFormat="1"/>
    <xf numFmtId="165" fontId="0" fillId="0" borderId="0" xfId="0" applyNumberForma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zoomScale="140" zoomScaleNormal="140" workbookViewId="0">
      <pane xSplit="1" ySplit="3" topLeftCell="B10" activePane="bottomRight" state="frozen"/>
      <selection pane="topRight" activeCell="B1" sqref="B1"/>
      <selection pane="bottomLeft" activeCell="A5" sqref="A5"/>
      <selection pane="bottomRight" activeCell="B44" sqref="B44"/>
    </sheetView>
  </sheetViews>
  <sheetFormatPr defaultColWidth="11.42578125" defaultRowHeight="15" x14ac:dyDescent="0.25"/>
  <cols>
    <col min="1" max="1" width="21.5703125" customWidth="1"/>
  </cols>
  <sheetData>
    <row r="1" spans="1:7" x14ac:dyDescent="0.25">
      <c r="A1" s="2" t="s">
        <v>12</v>
      </c>
    </row>
    <row r="3" spans="1:7" x14ac:dyDescent="0.25">
      <c r="A3" s="4" t="s">
        <v>0</v>
      </c>
      <c r="B3" s="5"/>
      <c r="C3" s="5"/>
      <c r="D3" s="5"/>
      <c r="E3" s="5"/>
    </row>
    <row r="4" spans="1:7" x14ac:dyDescent="0.25">
      <c r="A4" s="2" t="s">
        <v>26</v>
      </c>
      <c r="F4" s="1"/>
      <c r="G4" s="1"/>
    </row>
    <row r="5" spans="1:7" x14ac:dyDescent="0.25">
      <c r="A5" s="3" t="s">
        <v>55</v>
      </c>
      <c r="B5" t="s">
        <v>56</v>
      </c>
      <c r="F5" s="1"/>
      <c r="G5" s="1"/>
    </row>
    <row r="6" spans="1:7" x14ac:dyDescent="0.25">
      <c r="A6" t="s">
        <v>13</v>
      </c>
      <c r="B6" t="s">
        <v>15</v>
      </c>
    </row>
    <row r="7" spans="1:7" x14ac:dyDescent="0.25">
      <c r="A7" s="1" t="s">
        <v>14</v>
      </c>
      <c r="B7" t="s">
        <v>3</v>
      </c>
    </row>
    <row r="8" spans="1:7" x14ac:dyDescent="0.25">
      <c r="A8" t="s">
        <v>16</v>
      </c>
      <c r="B8" t="s">
        <v>17</v>
      </c>
    </row>
    <row r="10" spans="1:7" x14ac:dyDescent="0.25">
      <c r="A10" s="2" t="s">
        <v>27</v>
      </c>
    </row>
    <row r="11" spans="1:7" x14ac:dyDescent="0.25">
      <c r="A11" s="3" t="s">
        <v>55</v>
      </c>
      <c r="B11" t="s">
        <v>56</v>
      </c>
      <c r="F11" s="1"/>
      <c r="G11" s="1"/>
    </row>
    <row r="12" spans="1:7" x14ac:dyDescent="0.25">
      <c r="A12" t="s">
        <v>43</v>
      </c>
      <c r="B12" t="s">
        <v>28</v>
      </c>
    </row>
    <row r="13" spans="1:7" x14ac:dyDescent="0.25">
      <c r="A13" t="s">
        <v>44</v>
      </c>
      <c r="B13" s="1" t="s">
        <v>29</v>
      </c>
    </row>
    <row r="14" spans="1:7" x14ac:dyDescent="0.25">
      <c r="A14" s="1" t="s">
        <v>45</v>
      </c>
      <c r="B14" s="1" t="s">
        <v>30</v>
      </c>
    </row>
    <row r="15" spans="1:7" x14ac:dyDescent="0.25">
      <c r="A15" t="s">
        <v>46</v>
      </c>
      <c r="B15" t="s">
        <v>31</v>
      </c>
    </row>
    <row r="16" spans="1:7" x14ac:dyDescent="0.25">
      <c r="A16" t="s">
        <v>47</v>
      </c>
      <c r="B16" t="s">
        <v>32</v>
      </c>
    </row>
    <row r="17" spans="1:7" x14ac:dyDescent="0.25">
      <c r="A17" t="s">
        <v>48</v>
      </c>
      <c r="B17" s="1" t="s">
        <v>33</v>
      </c>
    </row>
    <row r="18" spans="1:7" x14ac:dyDescent="0.25">
      <c r="A18" s="1" t="s">
        <v>49</v>
      </c>
      <c r="B18" s="1" t="s">
        <v>34</v>
      </c>
    </row>
    <row r="19" spans="1:7" x14ac:dyDescent="0.25">
      <c r="A19" s="1" t="s">
        <v>50</v>
      </c>
      <c r="B19" s="1" t="s">
        <v>35</v>
      </c>
    </row>
    <row r="20" spans="1:7" x14ac:dyDescent="0.25">
      <c r="A20" t="s">
        <v>51</v>
      </c>
      <c r="B20" t="s">
        <v>36</v>
      </c>
    </row>
    <row r="21" spans="1:7" x14ac:dyDescent="0.25">
      <c r="A21" t="s">
        <v>52</v>
      </c>
      <c r="B21" t="s">
        <v>37</v>
      </c>
    </row>
    <row r="23" spans="1:7" x14ac:dyDescent="0.25">
      <c r="A23" s="2" t="s">
        <v>41</v>
      </c>
    </row>
    <row r="24" spans="1:7" x14ac:dyDescent="0.25">
      <c r="A24" s="3" t="s">
        <v>55</v>
      </c>
      <c r="B24" t="s">
        <v>56</v>
      </c>
      <c r="F24" s="1"/>
      <c r="G24" s="1"/>
    </row>
    <row r="25" spans="1:7" x14ac:dyDescent="0.25">
      <c r="A25" t="s">
        <v>4</v>
      </c>
      <c r="B25" t="s">
        <v>18</v>
      </c>
    </row>
    <row r="26" spans="1:7" x14ac:dyDescent="0.25">
      <c r="A26" t="s">
        <v>13</v>
      </c>
      <c r="B26" t="s">
        <v>39</v>
      </c>
    </row>
    <row r="27" spans="1:7" x14ac:dyDescent="0.25">
      <c r="A27" t="s">
        <v>14</v>
      </c>
      <c r="B27" t="s">
        <v>40</v>
      </c>
    </row>
    <row r="28" spans="1:7" x14ac:dyDescent="0.25">
      <c r="A28" t="s">
        <v>53</v>
      </c>
      <c r="B28" t="s">
        <v>38</v>
      </c>
    </row>
    <row r="30" spans="1:7" x14ac:dyDescent="0.25">
      <c r="A30" s="2" t="s">
        <v>42</v>
      </c>
    </row>
    <row r="31" spans="1:7" x14ac:dyDescent="0.25">
      <c r="A31" s="3" t="s">
        <v>55</v>
      </c>
      <c r="B31" t="s">
        <v>56</v>
      </c>
      <c r="F31" s="1"/>
      <c r="G31" s="1"/>
    </row>
    <row r="32" spans="1:7" x14ac:dyDescent="0.25">
      <c r="A32" t="s">
        <v>4</v>
      </c>
      <c r="B32" t="s">
        <v>18</v>
      </c>
    </row>
    <row r="33" spans="1:2" x14ac:dyDescent="0.25">
      <c r="A33" t="s">
        <v>5</v>
      </c>
      <c r="B33" t="s">
        <v>25</v>
      </c>
    </row>
    <row r="34" spans="1:2" x14ac:dyDescent="0.25">
      <c r="A34" t="s">
        <v>6</v>
      </c>
      <c r="B34" t="s">
        <v>19</v>
      </c>
    </row>
    <row r="35" spans="1:2" x14ac:dyDescent="0.25">
      <c r="A35" t="s">
        <v>7</v>
      </c>
      <c r="B35" t="s">
        <v>20</v>
      </c>
    </row>
    <row r="36" spans="1:2" x14ac:dyDescent="0.25">
      <c r="A36" t="s">
        <v>8</v>
      </c>
      <c r="B36" t="s">
        <v>21</v>
      </c>
    </row>
    <row r="37" spans="1:2" x14ac:dyDescent="0.25">
      <c r="A37" t="s">
        <v>9</v>
      </c>
      <c r="B37" t="s">
        <v>22</v>
      </c>
    </row>
    <row r="38" spans="1:2" x14ac:dyDescent="0.25">
      <c r="A38" t="s">
        <v>10</v>
      </c>
      <c r="B38" t="s">
        <v>23</v>
      </c>
    </row>
    <row r="39" spans="1:2" x14ac:dyDescent="0.25">
      <c r="A39" t="s">
        <v>11</v>
      </c>
      <c r="B39" t="s">
        <v>24</v>
      </c>
    </row>
    <row r="41" spans="1:2" x14ac:dyDescent="0.25">
      <c r="A41" s="2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09" sqref="G209"/>
    </sheetView>
  </sheetViews>
  <sheetFormatPr defaultColWidth="11.42578125" defaultRowHeight="15" x14ac:dyDescent="0.25"/>
  <cols>
    <col min="1" max="1" width="11.85546875" customWidth="1"/>
    <col min="2" max="3" width="16.85546875" customWidth="1"/>
  </cols>
  <sheetData>
    <row r="1" spans="1:4" x14ac:dyDescent="0.25">
      <c r="A1" s="8" t="s">
        <v>57</v>
      </c>
      <c r="B1" s="8" t="s">
        <v>58</v>
      </c>
      <c r="C1" s="8" t="s">
        <v>59</v>
      </c>
      <c r="D1" s="7" t="s">
        <v>60</v>
      </c>
    </row>
    <row r="2" spans="1:4" x14ac:dyDescent="0.25">
      <c r="A2" s="6">
        <v>39641</v>
      </c>
      <c r="B2">
        <v>2.4087600588321898</v>
      </c>
      <c r="C2">
        <v>35.3732931909773</v>
      </c>
      <c r="D2">
        <v>6.3754080354124998</v>
      </c>
    </row>
    <row r="3" spans="1:4" x14ac:dyDescent="0.25">
      <c r="A3" s="6">
        <v>39676</v>
      </c>
      <c r="B3">
        <v>2.45034038164171</v>
      </c>
      <c r="C3">
        <v>34.496593709344602</v>
      </c>
      <c r="D3">
        <v>6.6320533541631601</v>
      </c>
    </row>
    <row r="4" spans="1:4" x14ac:dyDescent="0.25">
      <c r="A4" s="6">
        <v>39704</v>
      </c>
      <c r="B4">
        <v>2.4895457004245798</v>
      </c>
      <c r="C4">
        <v>33.340135308842598</v>
      </c>
      <c r="D4">
        <v>6.9482776019710402</v>
      </c>
    </row>
    <row r="5" spans="1:4" x14ac:dyDescent="0.25">
      <c r="A5" s="6">
        <v>39739</v>
      </c>
      <c r="B5">
        <v>2.54288014764973</v>
      </c>
      <c r="C5">
        <v>31.934540217160698</v>
      </c>
      <c r="D5">
        <v>7.37549422417095</v>
      </c>
    </row>
    <row r="6" spans="1:4" x14ac:dyDescent="0.25">
      <c r="A6" s="6">
        <v>39767</v>
      </c>
      <c r="B6">
        <v>2.6168822894441899</v>
      </c>
      <c r="C6">
        <v>30.713158446313599</v>
      </c>
      <c r="D6">
        <v>7.8514224155648602</v>
      </c>
    </row>
    <row r="7" spans="1:4" x14ac:dyDescent="0.25">
      <c r="A7" s="6">
        <v>39795</v>
      </c>
      <c r="B7">
        <v>2.68187754071909</v>
      </c>
      <c r="C7">
        <v>28.846426503592301</v>
      </c>
      <c r="D7">
        <v>8.50625373616624</v>
      </c>
    </row>
    <row r="8" spans="1:4" x14ac:dyDescent="0.25">
      <c r="A8" s="6">
        <v>39830</v>
      </c>
      <c r="B8">
        <v>2.7290211365524701</v>
      </c>
      <c r="C8">
        <v>28.434267198858901</v>
      </c>
      <c r="D8">
        <v>8.7571667892679805</v>
      </c>
    </row>
    <row r="9" spans="1:4" x14ac:dyDescent="0.25">
      <c r="A9" s="6">
        <v>39858</v>
      </c>
      <c r="B9">
        <v>2.81040096061114</v>
      </c>
      <c r="C9">
        <v>26.426627488071901</v>
      </c>
      <c r="D9">
        <v>9.6124712726670207</v>
      </c>
    </row>
    <row r="10" spans="1:4" x14ac:dyDescent="0.25">
      <c r="A10" s="6">
        <v>39886</v>
      </c>
      <c r="B10">
        <v>2.86326221320452</v>
      </c>
      <c r="C10">
        <v>25.433970850186402</v>
      </c>
      <c r="D10">
        <v>10.1185236266397</v>
      </c>
    </row>
    <row r="11" spans="1:4" x14ac:dyDescent="0.25">
      <c r="A11" s="6">
        <v>39921</v>
      </c>
      <c r="B11">
        <v>2.8817316285079499</v>
      </c>
      <c r="C11">
        <v>25.0911714402691</v>
      </c>
      <c r="D11">
        <v>10.301868280966801</v>
      </c>
    </row>
    <row r="12" spans="1:4" x14ac:dyDescent="0.25">
      <c r="A12" s="6">
        <v>39949</v>
      </c>
      <c r="B12">
        <v>2.8828897913875902</v>
      </c>
      <c r="C12">
        <v>25.144128703633999</v>
      </c>
      <c r="D12">
        <v>10.2861094265152</v>
      </c>
    </row>
    <row r="13" spans="1:4" x14ac:dyDescent="0.25">
      <c r="A13" s="6">
        <v>39977</v>
      </c>
      <c r="B13">
        <v>2.8791381376878298</v>
      </c>
      <c r="C13">
        <v>25.106781421133199</v>
      </c>
      <c r="D13">
        <v>10.287809666702</v>
      </c>
    </row>
    <row r="14" spans="1:4" x14ac:dyDescent="0.25">
      <c r="A14" s="6">
        <v>40012</v>
      </c>
      <c r="B14">
        <v>2.8729022853886499</v>
      </c>
      <c r="C14">
        <v>24.698782110238799</v>
      </c>
      <c r="D14">
        <v>10.419756167832301</v>
      </c>
    </row>
    <row r="15" spans="1:4" x14ac:dyDescent="0.25">
      <c r="A15" s="6">
        <v>40040</v>
      </c>
      <c r="B15">
        <v>2.8404653151771999</v>
      </c>
      <c r="C15">
        <v>25.550704573960399</v>
      </c>
      <c r="D15">
        <v>10.004749104276801</v>
      </c>
    </row>
    <row r="16" spans="1:4" x14ac:dyDescent="0.25">
      <c r="A16" s="6">
        <v>40068</v>
      </c>
      <c r="B16">
        <v>2.8521631257047302</v>
      </c>
      <c r="C16">
        <v>25.0525877621176</v>
      </c>
      <c r="D16">
        <v>10.221066431198301</v>
      </c>
    </row>
    <row r="17" spans="1:4" x14ac:dyDescent="0.25">
      <c r="A17" s="6">
        <v>40103</v>
      </c>
      <c r="B17">
        <v>2.8577429284267901</v>
      </c>
      <c r="C17">
        <v>24.841009445520701</v>
      </c>
      <c r="D17">
        <v>10.3172261690555</v>
      </c>
    </row>
    <row r="18" spans="1:4" x14ac:dyDescent="0.25">
      <c r="A18" s="6">
        <v>40131</v>
      </c>
      <c r="B18">
        <v>2.840215238012</v>
      </c>
      <c r="C18">
        <v>24.970053572448698</v>
      </c>
      <c r="D18">
        <v>10.2128291436855</v>
      </c>
    </row>
    <row r="19" spans="1:4" x14ac:dyDescent="0.25">
      <c r="A19" s="6">
        <v>40159</v>
      </c>
      <c r="B19">
        <v>2.80828276731636</v>
      </c>
      <c r="C19">
        <v>25.500463736516402</v>
      </c>
      <c r="D19">
        <v>9.9201946894262694</v>
      </c>
    </row>
    <row r="20" spans="1:4" x14ac:dyDescent="0.25">
      <c r="A20" s="6">
        <v>40194</v>
      </c>
      <c r="B20">
        <v>2.7923325680765498</v>
      </c>
      <c r="C20">
        <v>26.029823348506401</v>
      </c>
      <c r="D20">
        <v>9.6881460781702504</v>
      </c>
    </row>
    <row r="21" spans="1:4" x14ac:dyDescent="0.25">
      <c r="A21" s="6">
        <v>40222</v>
      </c>
      <c r="B21">
        <v>2.77156398912879</v>
      </c>
      <c r="C21">
        <v>26.0990638229414</v>
      </c>
      <c r="D21">
        <v>9.5999436076345397</v>
      </c>
    </row>
    <row r="22" spans="1:4" x14ac:dyDescent="0.25">
      <c r="A22" s="6">
        <v>40250</v>
      </c>
      <c r="B22">
        <v>2.7595761406776398</v>
      </c>
      <c r="C22">
        <v>26.3666790070647</v>
      </c>
      <c r="D22">
        <v>9.4745312319752202</v>
      </c>
    </row>
    <row r="23" spans="1:4" x14ac:dyDescent="0.25">
      <c r="A23" s="6">
        <v>40285</v>
      </c>
      <c r="B23">
        <v>2.7540489180601</v>
      </c>
      <c r="C23">
        <v>27.030592685923502</v>
      </c>
      <c r="D23">
        <v>9.24654039715473</v>
      </c>
    </row>
    <row r="24" spans="1:4" x14ac:dyDescent="0.25">
      <c r="A24" s="6">
        <v>40313</v>
      </c>
      <c r="B24">
        <v>2.7374851601485499</v>
      </c>
      <c r="C24">
        <v>27.078472925717499</v>
      </c>
      <c r="D24">
        <v>9.1812751824541508</v>
      </c>
    </row>
    <row r="25" spans="1:4" x14ac:dyDescent="0.25">
      <c r="A25" s="6">
        <v>40341</v>
      </c>
      <c r="B25">
        <v>2.7291556039752498</v>
      </c>
      <c r="C25">
        <v>27.409368792018299</v>
      </c>
      <c r="D25">
        <v>9.0553723470882801</v>
      </c>
    </row>
    <row r="26" spans="1:4" x14ac:dyDescent="0.25">
      <c r="A26" s="6">
        <v>40376</v>
      </c>
      <c r="B26">
        <v>2.7765245634182798</v>
      </c>
      <c r="C26">
        <v>27.2545602001472</v>
      </c>
      <c r="D26">
        <v>9.2455020698647399</v>
      </c>
    </row>
    <row r="27" spans="1:4" x14ac:dyDescent="0.25">
      <c r="A27" s="6">
        <v>40404</v>
      </c>
      <c r="B27">
        <v>2.76160637683518</v>
      </c>
      <c r="C27">
        <v>26.307576482992001</v>
      </c>
      <c r="D27">
        <v>9.5001169800739191</v>
      </c>
    </row>
    <row r="28" spans="1:4" x14ac:dyDescent="0.25">
      <c r="A28" s="6">
        <v>40439</v>
      </c>
      <c r="B28">
        <v>2.7405358082384002</v>
      </c>
      <c r="C28">
        <v>26.555601465221098</v>
      </c>
      <c r="D28">
        <v>9.3545977841971499</v>
      </c>
    </row>
    <row r="29" spans="1:4" x14ac:dyDescent="0.25">
      <c r="A29" s="6">
        <v>40467</v>
      </c>
      <c r="B29">
        <v>2.7290206996689799</v>
      </c>
      <c r="C29">
        <v>26.584570808738999</v>
      </c>
      <c r="D29">
        <v>9.3097452725512007</v>
      </c>
    </row>
    <row r="30" spans="1:4" x14ac:dyDescent="0.25">
      <c r="A30" s="6">
        <v>40495</v>
      </c>
      <c r="B30">
        <v>2.7160332848583999</v>
      </c>
      <c r="C30">
        <v>26.765851677692002</v>
      </c>
      <c r="D30">
        <v>9.2125496327947207</v>
      </c>
    </row>
    <row r="31" spans="1:4" x14ac:dyDescent="0.25">
      <c r="A31" s="6">
        <v>40523</v>
      </c>
      <c r="B31">
        <v>2.7223278325426601</v>
      </c>
      <c r="C31">
        <v>27.2724772653307</v>
      </c>
      <c r="D31">
        <v>9.0759977391407602</v>
      </c>
    </row>
    <row r="32" spans="1:4" x14ac:dyDescent="0.25">
      <c r="A32" s="6">
        <v>40558</v>
      </c>
      <c r="B32">
        <v>2.7017476128061002</v>
      </c>
      <c r="C32">
        <v>27.3182234362</v>
      </c>
      <c r="D32">
        <v>8.9998341717106598</v>
      </c>
    </row>
    <row r="33" spans="1:4" x14ac:dyDescent="0.25">
      <c r="A33" s="6">
        <v>40586</v>
      </c>
      <c r="B33">
        <v>2.6760065414299601</v>
      </c>
      <c r="C33">
        <v>27.8527471297615</v>
      </c>
      <c r="D33">
        <v>8.7655282958871297</v>
      </c>
    </row>
    <row r="34" spans="1:4" x14ac:dyDescent="0.25">
      <c r="A34" s="6">
        <v>40614</v>
      </c>
      <c r="B34">
        <v>2.6450965176988102</v>
      </c>
      <c r="C34">
        <v>28.256864006406101</v>
      </c>
      <c r="D34">
        <v>8.5596398184364997</v>
      </c>
    </row>
    <row r="35" spans="1:4" x14ac:dyDescent="0.25">
      <c r="A35" s="6">
        <v>40649</v>
      </c>
      <c r="B35">
        <v>2.6359268923568302</v>
      </c>
      <c r="C35">
        <v>28.859488927374301</v>
      </c>
      <c r="D35">
        <v>8.3692398520596107</v>
      </c>
    </row>
    <row r="36" spans="1:4" x14ac:dyDescent="0.25">
      <c r="A36" s="6">
        <v>40677</v>
      </c>
      <c r="B36">
        <v>2.64888799814136</v>
      </c>
      <c r="C36">
        <v>28.2644003685858</v>
      </c>
      <c r="D36">
        <v>8.5687681191252292</v>
      </c>
    </row>
    <row r="37" spans="1:4" x14ac:dyDescent="0.25">
      <c r="A37" s="6">
        <v>40712</v>
      </c>
      <c r="B37">
        <v>2.6564945257700701</v>
      </c>
      <c r="C37">
        <v>28.1290299796397</v>
      </c>
      <c r="D37">
        <v>8.6290377326631695</v>
      </c>
    </row>
    <row r="38" spans="1:4" x14ac:dyDescent="0.25">
      <c r="A38" s="6">
        <v>40740</v>
      </c>
      <c r="B38">
        <v>2.67375531179764</v>
      </c>
      <c r="C38">
        <v>27.906535378774901</v>
      </c>
      <c r="D38">
        <v>8.7433940339289098</v>
      </c>
    </row>
    <row r="39" spans="1:4" x14ac:dyDescent="0.25">
      <c r="A39" s="6">
        <v>40768</v>
      </c>
      <c r="B39">
        <v>2.67128578604818</v>
      </c>
      <c r="C39">
        <v>27.4248458624335</v>
      </c>
      <c r="D39">
        <v>8.8758443020132791</v>
      </c>
    </row>
    <row r="40" spans="1:4" x14ac:dyDescent="0.25">
      <c r="A40" s="6">
        <v>40803</v>
      </c>
      <c r="B40">
        <v>2.67813499382682</v>
      </c>
      <c r="C40">
        <v>27.4548093167631</v>
      </c>
      <c r="D40">
        <v>8.8877308709777001</v>
      </c>
    </row>
    <row r="41" spans="1:4" x14ac:dyDescent="0.25">
      <c r="A41" s="6">
        <v>40831</v>
      </c>
      <c r="B41">
        <v>2.6590814492605301</v>
      </c>
      <c r="C41">
        <v>27.666742467763701</v>
      </c>
      <c r="D41">
        <v>8.7683733063152793</v>
      </c>
    </row>
    <row r="42" spans="1:4" x14ac:dyDescent="0.25">
      <c r="A42" s="6">
        <v>40859</v>
      </c>
      <c r="B42">
        <v>2.6306976194069902</v>
      </c>
      <c r="C42">
        <v>28.746262404859301</v>
      </c>
      <c r="D42">
        <v>8.3841698410950691</v>
      </c>
    </row>
    <row r="43" spans="1:4" x14ac:dyDescent="0.25">
      <c r="A43" s="6">
        <v>40887</v>
      </c>
      <c r="B43">
        <v>2.6005039376782699</v>
      </c>
      <c r="C43">
        <v>29.531569224614501</v>
      </c>
      <c r="D43">
        <v>8.0931719672852491</v>
      </c>
    </row>
    <row r="44" spans="1:4" x14ac:dyDescent="0.25">
      <c r="A44" s="6">
        <v>40922</v>
      </c>
      <c r="B44">
        <v>2.5989934209447898</v>
      </c>
      <c r="C44">
        <v>29.435964279149001</v>
      </c>
      <c r="D44">
        <v>8.1129915802485293</v>
      </c>
    </row>
    <row r="45" spans="1:4" x14ac:dyDescent="0.25">
      <c r="A45" s="6">
        <v>40957</v>
      </c>
      <c r="B45">
        <v>2.5569484045823998</v>
      </c>
      <c r="C45">
        <v>30.6787268512509</v>
      </c>
      <c r="D45">
        <v>7.6933848489617098</v>
      </c>
    </row>
    <row r="46" spans="1:4" x14ac:dyDescent="0.25">
      <c r="A46" s="6">
        <v>40985</v>
      </c>
      <c r="B46">
        <v>2.5637459775917102</v>
      </c>
      <c r="C46">
        <v>30.579230500983702</v>
      </c>
      <c r="D46">
        <v>7.7354125971425196</v>
      </c>
    </row>
    <row r="47" spans="1:4" x14ac:dyDescent="0.25">
      <c r="A47" s="6">
        <v>41013</v>
      </c>
      <c r="B47">
        <v>2.5502211571051698</v>
      </c>
      <c r="C47">
        <v>30.842792023082499</v>
      </c>
      <c r="D47">
        <v>7.6369902390786404</v>
      </c>
    </row>
    <row r="48" spans="1:4" x14ac:dyDescent="0.25">
      <c r="A48" s="6">
        <v>41041</v>
      </c>
      <c r="B48">
        <v>2.5594020693931898</v>
      </c>
      <c r="C48">
        <v>30.2527218268186</v>
      </c>
      <c r="D48">
        <v>7.8001719044120597</v>
      </c>
    </row>
    <row r="49" spans="1:4" x14ac:dyDescent="0.25">
      <c r="A49" s="6">
        <v>41076</v>
      </c>
      <c r="B49">
        <v>2.57270284680797</v>
      </c>
      <c r="C49">
        <v>30.151707912761601</v>
      </c>
      <c r="D49">
        <v>7.8617239763611</v>
      </c>
    </row>
    <row r="50" spans="1:4" x14ac:dyDescent="0.25">
      <c r="A50" s="6">
        <v>41104</v>
      </c>
      <c r="B50">
        <v>2.57053480975555</v>
      </c>
      <c r="C50">
        <v>30.135267986756599</v>
      </c>
      <c r="D50">
        <v>7.8595679969967698</v>
      </c>
    </row>
    <row r="51" spans="1:4" x14ac:dyDescent="0.25">
      <c r="A51" s="6">
        <v>41139</v>
      </c>
      <c r="B51">
        <v>2.5634839923060802</v>
      </c>
      <c r="C51">
        <v>30.241534761371302</v>
      </c>
      <c r="D51">
        <v>7.8143043037240103</v>
      </c>
    </row>
    <row r="52" spans="1:4" x14ac:dyDescent="0.25">
      <c r="A52" s="6">
        <v>41167</v>
      </c>
      <c r="B52">
        <v>2.5668006606500802</v>
      </c>
      <c r="C52">
        <v>30.126582800740898</v>
      </c>
      <c r="D52">
        <v>7.8511319077186403</v>
      </c>
    </row>
    <row r="53" spans="1:4" x14ac:dyDescent="0.25">
      <c r="A53" s="6">
        <v>41195</v>
      </c>
      <c r="B53">
        <v>2.5408295729575299</v>
      </c>
      <c r="C53">
        <v>31.171458856562499</v>
      </c>
      <c r="D53">
        <v>7.5368053944764597</v>
      </c>
    </row>
    <row r="54" spans="1:4" x14ac:dyDescent="0.25">
      <c r="A54" s="6">
        <v>41223</v>
      </c>
      <c r="B54">
        <v>2.5744178848155101</v>
      </c>
      <c r="C54">
        <v>31.087502242694899</v>
      </c>
      <c r="D54">
        <v>7.64786404062421</v>
      </c>
    </row>
    <row r="55" spans="1:4" x14ac:dyDescent="0.25">
      <c r="A55" s="6">
        <v>41251</v>
      </c>
      <c r="B55">
        <v>2.5029971907948498</v>
      </c>
      <c r="C55">
        <v>32.127427084572197</v>
      </c>
      <c r="D55">
        <v>7.2277404714768601</v>
      </c>
    </row>
    <row r="56" spans="1:4" x14ac:dyDescent="0.25">
      <c r="A56" s="6">
        <v>41286</v>
      </c>
      <c r="B56">
        <v>2.50049593997768</v>
      </c>
      <c r="C56">
        <v>31.9441779280776</v>
      </c>
      <c r="D56">
        <v>7.2594559889176402</v>
      </c>
    </row>
    <row r="57" spans="1:4" x14ac:dyDescent="0.25">
      <c r="A57" s="6">
        <v>41321</v>
      </c>
      <c r="B57">
        <v>2.49287584349175</v>
      </c>
      <c r="C57">
        <v>32.033540041465898</v>
      </c>
      <c r="D57">
        <v>7.22019873652114</v>
      </c>
    </row>
    <row r="58" spans="1:4" x14ac:dyDescent="0.25">
      <c r="A58" s="6">
        <v>41349</v>
      </c>
      <c r="B58">
        <v>2.4712016138683799</v>
      </c>
      <c r="C58">
        <v>32.583832694783702</v>
      </c>
      <c r="D58">
        <v>7.0494913572469597</v>
      </c>
    </row>
    <row r="59" spans="1:4" x14ac:dyDescent="0.25">
      <c r="A59" s="6">
        <v>41377</v>
      </c>
      <c r="B59">
        <v>2.4877391448353601</v>
      </c>
      <c r="C59">
        <v>31.942347513697101</v>
      </c>
      <c r="D59">
        <v>7.2254803466166804</v>
      </c>
    </row>
    <row r="60" spans="1:4" x14ac:dyDescent="0.25">
      <c r="A60" s="6">
        <v>41412</v>
      </c>
      <c r="B60">
        <v>2.4714099527982998</v>
      </c>
      <c r="C60">
        <v>32.486442701712299</v>
      </c>
      <c r="D60">
        <v>7.0696846777841804</v>
      </c>
    </row>
    <row r="61" spans="1:4" x14ac:dyDescent="0.25">
      <c r="A61" s="6">
        <v>41440</v>
      </c>
      <c r="B61">
        <v>2.4718944470337001</v>
      </c>
      <c r="C61">
        <v>32.506309908587397</v>
      </c>
      <c r="D61">
        <v>7.0669563877611097</v>
      </c>
    </row>
    <row r="62" spans="1:4" x14ac:dyDescent="0.25">
      <c r="A62" s="6">
        <v>41468</v>
      </c>
      <c r="B62">
        <v>2.4638990915315402</v>
      </c>
      <c r="C62">
        <v>32.886051550429002</v>
      </c>
      <c r="D62">
        <v>6.9700213063575802</v>
      </c>
    </row>
    <row r="63" spans="1:4" x14ac:dyDescent="0.25">
      <c r="A63" s="6">
        <v>41503</v>
      </c>
      <c r="B63">
        <v>2.45486529342628</v>
      </c>
      <c r="C63">
        <v>33.253804524268197</v>
      </c>
      <c r="D63">
        <v>6.8747038351169003</v>
      </c>
    </row>
    <row r="64" spans="1:4" x14ac:dyDescent="0.25">
      <c r="A64" s="6">
        <v>41531</v>
      </c>
      <c r="B64">
        <v>2.4284749905352201</v>
      </c>
      <c r="C64">
        <v>33.707358730576203</v>
      </c>
      <c r="D64">
        <v>6.7204067001128696</v>
      </c>
    </row>
    <row r="65" spans="1:4" x14ac:dyDescent="0.25">
      <c r="A65" s="6">
        <v>41559</v>
      </c>
      <c r="B65">
        <v>2.4645584923020301</v>
      </c>
      <c r="C65">
        <v>32.951269178207397</v>
      </c>
      <c r="D65">
        <v>6.95891824195387</v>
      </c>
    </row>
    <row r="66" spans="1:4" x14ac:dyDescent="0.25">
      <c r="A66" s="6">
        <v>41587</v>
      </c>
      <c r="B66">
        <v>2.43862540899844</v>
      </c>
      <c r="C66">
        <v>33.760523583200701</v>
      </c>
      <c r="D66">
        <v>6.7366926485591296</v>
      </c>
    </row>
    <row r="67" spans="1:4" x14ac:dyDescent="0.25">
      <c r="A67" s="6">
        <v>41615</v>
      </c>
      <c r="B67">
        <v>2.4341595448189799</v>
      </c>
      <c r="C67">
        <v>34.241882727960501</v>
      </c>
      <c r="D67">
        <v>6.6369198909599501</v>
      </c>
    </row>
    <row r="68" spans="1:4" x14ac:dyDescent="0.25">
      <c r="A68" s="6">
        <v>41657</v>
      </c>
      <c r="B68">
        <v>2.4143995349223499</v>
      </c>
      <c r="C68">
        <v>34.859299369941198</v>
      </c>
      <c r="D68">
        <v>6.4774884324864104</v>
      </c>
    </row>
    <row r="69" spans="1:4" x14ac:dyDescent="0.25">
      <c r="A69" s="6">
        <v>41685</v>
      </c>
      <c r="B69">
        <v>2.40445951856988</v>
      </c>
      <c r="C69">
        <v>34.797811685209197</v>
      </c>
      <c r="D69">
        <v>6.4632062526484404</v>
      </c>
    </row>
    <row r="70" spans="1:4" x14ac:dyDescent="0.25">
      <c r="A70" s="6">
        <v>41713</v>
      </c>
      <c r="B70">
        <v>2.3906865436881</v>
      </c>
      <c r="C70">
        <v>35.296366963407202</v>
      </c>
      <c r="D70">
        <v>6.3435220353270898</v>
      </c>
    </row>
    <row r="71" spans="1:4" x14ac:dyDescent="0.25">
      <c r="A71" s="6">
        <v>41741</v>
      </c>
      <c r="B71">
        <v>2.3746374256982401</v>
      </c>
      <c r="C71">
        <v>35.634510126149202</v>
      </c>
      <c r="D71">
        <v>6.24754191726886</v>
      </c>
    </row>
    <row r="72" spans="1:4" x14ac:dyDescent="0.25">
      <c r="A72" s="6">
        <v>41776</v>
      </c>
      <c r="B72">
        <v>2.3786016277957001</v>
      </c>
      <c r="C72">
        <v>35.840645077053402</v>
      </c>
      <c r="D72">
        <v>6.2235701455986998</v>
      </c>
    </row>
    <row r="73" spans="1:4" x14ac:dyDescent="0.25">
      <c r="A73" s="6">
        <v>41804</v>
      </c>
      <c r="B73">
        <v>2.3453235500354501</v>
      </c>
      <c r="C73">
        <v>36.257184578190298</v>
      </c>
      <c r="D73">
        <v>6.0755729711784499</v>
      </c>
    </row>
    <row r="74" spans="1:4" x14ac:dyDescent="0.25">
      <c r="A74" s="6">
        <v>41832</v>
      </c>
      <c r="B74">
        <v>2.33531839267226</v>
      </c>
      <c r="C74">
        <v>36.574727225411898</v>
      </c>
      <c r="D74">
        <v>6.0018392566131498</v>
      </c>
    </row>
    <row r="75" spans="1:4" x14ac:dyDescent="0.25">
      <c r="A75" s="6">
        <v>41867</v>
      </c>
      <c r="B75">
        <v>2.32210061570827</v>
      </c>
      <c r="C75">
        <v>37.100353824355999</v>
      </c>
      <c r="D75">
        <v>5.8902994465721701</v>
      </c>
    </row>
    <row r="76" spans="1:4" x14ac:dyDescent="0.25">
      <c r="A76" s="6">
        <v>41895</v>
      </c>
      <c r="B76">
        <v>2.30518106685932</v>
      </c>
      <c r="C76">
        <v>37.328529343165201</v>
      </c>
      <c r="D76">
        <v>5.8162131251689999</v>
      </c>
    </row>
    <row r="77" spans="1:4" x14ac:dyDescent="0.25">
      <c r="A77" s="6">
        <v>41930</v>
      </c>
      <c r="B77">
        <v>2.29305909673633</v>
      </c>
      <c r="C77">
        <v>38.014212313066203</v>
      </c>
      <c r="D77">
        <v>5.68894647673587</v>
      </c>
    </row>
    <row r="78" spans="1:4" x14ac:dyDescent="0.25">
      <c r="A78" s="6">
        <v>41958</v>
      </c>
      <c r="B78">
        <v>2.2946753859952902</v>
      </c>
      <c r="C78">
        <v>38.209320012877797</v>
      </c>
      <c r="D78">
        <v>5.6653062578096502</v>
      </c>
    </row>
    <row r="79" spans="1:4" x14ac:dyDescent="0.25">
      <c r="A79" s="6">
        <v>41986</v>
      </c>
      <c r="B79">
        <v>2.2767882201036298</v>
      </c>
      <c r="C79">
        <v>38.716877331470002</v>
      </c>
      <c r="D79">
        <v>5.5540000862797498</v>
      </c>
    </row>
    <row r="80" spans="1:4" x14ac:dyDescent="0.25">
      <c r="A80" s="6">
        <v>42021</v>
      </c>
      <c r="B80">
        <v>2.27128349073244</v>
      </c>
      <c r="C80">
        <v>39.595212500434499</v>
      </c>
      <c r="D80">
        <v>5.42506230091871</v>
      </c>
    </row>
    <row r="81" spans="1:4" x14ac:dyDescent="0.25">
      <c r="A81" s="6">
        <v>42049</v>
      </c>
      <c r="B81">
        <v>2.26073151955294</v>
      </c>
      <c r="C81">
        <v>39.312113526093803</v>
      </c>
      <c r="D81">
        <v>5.4380004954452099</v>
      </c>
    </row>
    <row r="82" spans="1:4" x14ac:dyDescent="0.25">
      <c r="A82" s="6">
        <v>42077</v>
      </c>
      <c r="B82">
        <v>2.2560080812683001</v>
      </c>
      <c r="C82">
        <v>39.657460039089401</v>
      </c>
      <c r="D82">
        <v>5.3825373619525001</v>
      </c>
    </row>
    <row r="83" spans="1:4" x14ac:dyDescent="0.25">
      <c r="A83" s="6">
        <v>42112</v>
      </c>
      <c r="B83">
        <v>2.2663570786656702</v>
      </c>
      <c r="C83">
        <v>39.201687967115198</v>
      </c>
      <c r="D83">
        <v>5.4653096767971698</v>
      </c>
    </row>
    <row r="84" spans="1:4" x14ac:dyDescent="0.25">
      <c r="A84" s="6">
        <v>42140</v>
      </c>
      <c r="B84">
        <v>2.2450895316725701</v>
      </c>
      <c r="C84">
        <v>39.8673563553713</v>
      </c>
      <c r="D84">
        <v>5.3311781930084603</v>
      </c>
    </row>
    <row r="85" spans="1:4" x14ac:dyDescent="0.25">
      <c r="A85" s="6">
        <v>42168</v>
      </c>
      <c r="B85">
        <v>2.2265571233936501</v>
      </c>
      <c r="C85">
        <v>39.967116545914401</v>
      </c>
      <c r="D85">
        <v>5.2769928042868202</v>
      </c>
    </row>
    <row r="86" spans="1:4" x14ac:dyDescent="0.25">
      <c r="A86" s="6">
        <v>42203</v>
      </c>
      <c r="B86">
        <v>2.2378160308866901</v>
      </c>
      <c r="C86">
        <v>39.944115847374299</v>
      </c>
      <c r="D86">
        <v>5.3051530151466997</v>
      </c>
    </row>
    <row r="87" spans="1:4" x14ac:dyDescent="0.25">
      <c r="A87" s="6">
        <v>42231</v>
      </c>
      <c r="B87">
        <v>2.2184951623783</v>
      </c>
      <c r="C87">
        <v>41.1288128417794</v>
      </c>
      <c r="D87">
        <v>5.1179537196762199</v>
      </c>
    </row>
    <row r="88" spans="1:4" x14ac:dyDescent="0.25">
      <c r="A88" s="6">
        <v>42259</v>
      </c>
      <c r="B88">
        <v>2.20511672368142</v>
      </c>
      <c r="C88">
        <v>41.4048592687218</v>
      </c>
      <c r="D88">
        <v>5.0564502123678103</v>
      </c>
    </row>
    <row r="89" spans="1:4" x14ac:dyDescent="0.25">
      <c r="A89" s="6">
        <v>42294</v>
      </c>
      <c r="B89">
        <v>2.2154813105361302</v>
      </c>
      <c r="C89">
        <v>41.062862985541102</v>
      </c>
      <c r="D89">
        <v>5.1191452597620399</v>
      </c>
    </row>
    <row r="90" spans="1:4" x14ac:dyDescent="0.25">
      <c r="A90" s="6">
        <v>42322</v>
      </c>
      <c r="B90">
        <v>2.2148696557675698</v>
      </c>
      <c r="C90">
        <v>41.062394607027201</v>
      </c>
      <c r="D90">
        <v>5.11785967411919</v>
      </c>
    </row>
    <row r="91" spans="1:4" x14ac:dyDescent="0.25">
      <c r="A91" s="6">
        <v>42350</v>
      </c>
      <c r="B91">
        <v>2.1970610526966801</v>
      </c>
      <c r="C91">
        <v>42.117753635544702</v>
      </c>
      <c r="D91">
        <v>4.95784777202205</v>
      </c>
    </row>
    <row r="92" spans="1:4" x14ac:dyDescent="0.25">
      <c r="A92" s="6">
        <v>42385</v>
      </c>
      <c r="B92">
        <v>2.2204870408891799</v>
      </c>
      <c r="C92">
        <v>41.828390246537403</v>
      </c>
      <c r="D92">
        <v>5.0409617171400702</v>
      </c>
    </row>
    <row r="93" spans="1:4" x14ac:dyDescent="0.25">
      <c r="A93" s="6">
        <v>42413</v>
      </c>
      <c r="B93">
        <v>2.1986236897864901</v>
      </c>
      <c r="C93">
        <v>41.719657678947499</v>
      </c>
      <c r="D93">
        <v>5.0061696889435101</v>
      </c>
    </row>
    <row r="94" spans="1:4" x14ac:dyDescent="0.25">
      <c r="A94" s="6">
        <v>42441</v>
      </c>
      <c r="B94">
        <v>2.1896977560213302</v>
      </c>
      <c r="C94">
        <v>42.163521813630602</v>
      </c>
      <c r="D94">
        <v>4.9369533424347001</v>
      </c>
    </row>
    <row r="95" spans="1:4" x14ac:dyDescent="0.25">
      <c r="A95" s="6">
        <v>42476</v>
      </c>
      <c r="B95">
        <v>2.1857118020001902</v>
      </c>
      <c r="C95">
        <v>42.089520191566699</v>
      </c>
      <c r="D95">
        <v>4.93664675165964</v>
      </c>
    </row>
    <row r="96" spans="1:4" x14ac:dyDescent="0.25">
      <c r="A96" s="6">
        <v>42504</v>
      </c>
      <c r="B96">
        <v>2.1934737145843299</v>
      </c>
      <c r="C96">
        <v>41.991063863698201</v>
      </c>
      <c r="D96">
        <v>4.9643468842422802</v>
      </c>
    </row>
    <row r="97" spans="1:4" x14ac:dyDescent="0.25">
      <c r="A97" s="6">
        <v>42539</v>
      </c>
      <c r="B97">
        <v>2.18548153734893</v>
      </c>
      <c r="C97">
        <v>41.998495380520197</v>
      </c>
      <c r="D97">
        <v>4.94632147172128</v>
      </c>
    </row>
    <row r="98" spans="1:4" x14ac:dyDescent="0.25">
      <c r="A98" s="6">
        <v>42567</v>
      </c>
      <c r="B98">
        <v>2.17262532485287</v>
      </c>
      <c r="C98">
        <v>42.647319341884902</v>
      </c>
      <c r="D98">
        <v>4.8474520461986401</v>
      </c>
    </row>
    <row r="99" spans="1:4" x14ac:dyDescent="0.25">
      <c r="A99" s="6">
        <v>42595</v>
      </c>
      <c r="B99">
        <v>2.1655358624758101</v>
      </c>
      <c r="C99">
        <v>43.023670978036201</v>
      </c>
      <c r="D99">
        <v>4.79215284773358</v>
      </c>
    </row>
    <row r="100" spans="1:4" x14ac:dyDescent="0.25">
      <c r="A100" s="6">
        <v>42630</v>
      </c>
      <c r="B100">
        <v>2.16486549853997</v>
      </c>
      <c r="C100">
        <v>42.980325164995797</v>
      </c>
      <c r="D100">
        <v>4.7953402493624901</v>
      </c>
    </row>
    <row r="101" spans="1:4" x14ac:dyDescent="0.25">
      <c r="A101" s="6">
        <v>42658</v>
      </c>
      <c r="B101">
        <v>2.1609250201213199</v>
      </c>
      <c r="C101">
        <v>43.277997629347603</v>
      </c>
      <c r="D101">
        <v>4.75566957604038</v>
      </c>
    </row>
    <row r="102" spans="1:4" x14ac:dyDescent="0.25">
      <c r="A102" s="6">
        <v>42686</v>
      </c>
      <c r="B102">
        <v>2.1360163789251998</v>
      </c>
      <c r="C102">
        <v>44.045551839699797</v>
      </c>
      <c r="D102">
        <v>4.6252573511865904</v>
      </c>
    </row>
    <row r="103" spans="1:4" x14ac:dyDescent="0.25">
      <c r="A103" s="6">
        <v>42714</v>
      </c>
      <c r="B103">
        <v>2.1529294503743102</v>
      </c>
      <c r="C103">
        <v>43.8210581449394</v>
      </c>
      <c r="D103">
        <v>4.6829295499130499</v>
      </c>
    </row>
    <row r="104" spans="1:4" x14ac:dyDescent="0.25">
      <c r="A104" s="6">
        <v>42749</v>
      </c>
      <c r="B104">
        <v>2.1423600585246398</v>
      </c>
      <c r="C104">
        <v>44.000512759183998</v>
      </c>
      <c r="D104">
        <v>4.6428839985499204</v>
      </c>
    </row>
    <row r="105" spans="1:4" x14ac:dyDescent="0.25">
      <c r="A105" s="6">
        <v>42784</v>
      </c>
      <c r="B105">
        <v>2.1306369339949698</v>
      </c>
      <c r="C105">
        <v>44.417320140470302</v>
      </c>
      <c r="D105">
        <v>4.5772941884140703</v>
      </c>
    </row>
    <row r="106" spans="1:4" x14ac:dyDescent="0.25">
      <c r="A106" s="6">
        <v>42812</v>
      </c>
      <c r="B106">
        <v>2.1221369078508601</v>
      </c>
      <c r="C106">
        <v>45.143436143167797</v>
      </c>
      <c r="D106">
        <v>4.4898152521291097</v>
      </c>
    </row>
    <row r="107" spans="1:4" x14ac:dyDescent="0.25">
      <c r="A107" s="6">
        <v>42840</v>
      </c>
      <c r="B107">
        <v>2.1113607592929</v>
      </c>
      <c r="C107">
        <v>45.254746532107802</v>
      </c>
      <c r="D107">
        <v>4.4575348915704804</v>
      </c>
    </row>
    <row r="108" spans="1:4" x14ac:dyDescent="0.25">
      <c r="A108" s="6">
        <v>42868</v>
      </c>
      <c r="B108">
        <v>2.0995399251056002</v>
      </c>
      <c r="C108">
        <v>45.7305033500039</v>
      </c>
      <c r="D108">
        <v>4.3895839964631396</v>
      </c>
    </row>
    <row r="109" spans="1:4" x14ac:dyDescent="0.25">
      <c r="A109" s="6">
        <v>42903</v>
      </c>
      <c r="B109">
        <v>2.1013296539720399</v>
      </c>
      <c r="C109">
        <v>46.113720933142297</v>
      </c>
      <c r="D109">
        <v>4.35824421707364</v>
      </c>
    </row>
    <row r="110" spans="1:4" x14ac:dyDescent="0.25">
      <c r="A110" s="6">
        <v>42931</v>
      </c>
      <c r="B110">
        <v>2.10340787536179</v>
      </c>
      <c r="C110">
        <v>46.155794662919298</v>
      </c>
      <c r="D110">
        <v>4.3585632682042101</v>
      </c>
    </row>
    <row r="111" spans="1:4" x14ac:dyDescent="0.25">
      <c r="A111" s="6">
        <v>42959</v>
      </c>
      <c r="B111">
        <v>2.1000967986507599</v>
      </c>
      <c r="C111">
        <v>46.075058122969303</v>
      </c>
      <c r="D111">
        <v>4.3592943334952903</v>
      </c>
    </row>
    <row r="112" spans="1:4" x14ac:dyDescent="0.25">
      <c r="A112" s="6">
        <v>42994</v>
      </c>
      <c r="B112">
        <v>2.1099541980819501</v>
      </c>
      <c r="C112">
        <v>45.767988654923599</v>
      </c>
      <c r="D112">
        <v>4.4069441424413496</v>
      </c>
    </row>
    <row r="113" spans="1:4" x14ac:dyDescent="0.25">
      <c r="A113" s="6">
        <v>43022</v>
      </c>
      <c r="B113">
        <v>2.0767918774876999</v>
      </c>
      <c r="C113">
        <v>47.353394192704599</v>
      </c>
      <c r="D113">
        <v>4.2014648185596499</v>
      </c>
    </row>
    <row r="114" spans="1:4" x14ac:dyDescent="0.25">
      <c r="A114" s="6">
        <v>43050</v>
      </c>
      <c r="B114">
        <v>2.0863079504644202</v>
      </c>
      <c r="C114">
        <v>47.618009651990199</v>
      </c>
      <c r="D114">
        <v>4.1974380719822699</v>
      </c>
    </row>
    <row r="115" spans="1:4" x14ac:dyDescent="0.25">
      <c r="A115" s="6">
        <v>43078</v>
      </c>
      <c r="B115">
        <v>2.0776336218154801</v>
      </c>
      <c r="C115">
        <v>47.871087306015298</v>
      </c>
      <c r="D115">
        <v>4.1595331836772802</v>
      </c>
    </row>
    <row r="116" spans="1:4" x14ac:dyDescent="0.25">
      <c r="A116" s="6">
        <v>43113</v>
      </c>
      <c r="B116">
        <v>2.0743991975178999</v>
      </c>
      <c r="C116">
        <v>47.859949640625402</v>
      </c>
      <c r="D116">
        <v>4.1542530257915899</v>
      </c>
    </row>
    <row r="117" spans="1:4" x14ac:dyDescent="0.25">
      <c r="A117" s="6">
        <v>43148</v>
      </c>
      <c r="B117">
        <v>2.0663892882192298</v>
      </c>
      <c r="C117">
        <v>48.4653968922497</v>
      </c>
      <c r="D117">
        <v>4.0892860601430998</v>
      </c>
    </row>
    <row r="118" spans="1:4" x14ac:dyDescent="0.25">
      <c r="A118" s="6">
        <v>43176</v>
      </c>
      <c r="B118">
        <v>2.06054846030383</v>
      </c>
      <c r="C118">
        <v>48.845598402895803</v>
      </c>
      <c r="D118">
        <v>4.0477399828377401</v>
      </c>
    </row>
    <row r="119" spans="1:4" x14ac:dyDescent="0.25">
      <c r="A119" s="6">
        <v>43204</v>
      </c>
      <c r="B119">
        <v>2.0604054611376399</v>
      </c>
      <c r="C119">
        <v>48.449798187762099</v>
      </c>
      <c r="D119">
        <v>4.0791866044723903</v>
      </c>
    </row>
    <row r="120" spans="1:4" x14ac:dyDescent="0.25">
      <c r="A120" s="6">
        <v>43232</v>
      </c>
      <c r="B120">
        <v>2.02999565319822</v>
      </c>
      <c r="C120">
        <v>49.777907952031001</v>
      </c>
      <c r="D120">
        <v>3.9183126741946102</v>
      </c>
    </row>
    <row r="121" spans="1:4" x14ac:dyDescent="0.25">
      <c r="A121" s="6">
        <v>43267</v>
      </c>
      <c r="B121">
        <v>2.0133885583077298</v>
      </c>
      <c r="C121">
        <v>50.4561486492196</v>
      </c>
      <c r="D121">
        <v>3.8372523667292602</v>
      </c>
    </row>
    <row r="122" spans="1:4" x14ac:dyDescent="0.25">
      <c r="A122" s="6">
        <v>43295</v>
      </c>
      <c r="B122">
        <v>2.00406211856951</v>
      </c>
      <c r="C122">
        <v>50.776621290001998</v>
      </c>
      <c r="D122">
        <v>3.7969612917972402</v>
      </c>
    </row>
    <row r="123" spans="1:4" x14ac:dyDescent="0.25">
      <c r="A123" s="6">
        <v>43330</v>
      </c>
      <c r="B123">
        <v>1.99319488683747</v>
      </c>
      <c r="C123">
        <v>51.256307535443099</v>
      </c>
      <c r="D123">
        <v>3.74312396579968</v>
      </c>
    </row>
    <row r="124" spans="1:4" x14ac:dyDescent="0.25">
      <c r="A124" s="6">
        <v>43358</v>
      </c>
      <c r="B124">
        <v>1.9864987380267201</v>
      </c>
      <c r="C124">
        <v>51.734249430440499</v>
      </c>
      <c r="D124">
        <v>3.6978240358773502</v>
      </c>
    </row>
    <row r="125" spans="1:4" x14ac:dyDescent="0.25">
      <c r="A125" s="6">
        <v>43386</v>
      </c>
      <c r="B125">
        <v>1.9841307626532001</v>
      </c>
      <c r="C125">
        <v>51.790493516664398</v>
      </c>
      <c r="D125">
        <v>3.6897157148828601</v>
      </c>
    </row>
    <row r="126" spans="1:4" x14ac:dyDescent="0.25">
      <c r="A126" s="6">
        <v>43414</v>
      </c>
      <c r="B126">
        <v>1.9971614289902599</v>
      </c>
      <c r="C126">
        <v>52.0599816742847</v>
      </c>
      <c r="D126">
        <v>3.69453751037994</v>
      </c>
    </row>
    <row r="127" spans="1:4" x14ac:dyDescent="0.25">
      <c r="A127" s="6">
        <v>43442</v>
      </c>
      <c r="B127">
        <v>2.0056435715484402</v>
      </c>
      <c r="C127">
        <v>51.662956759272099</v>
      </c>
      <c r="D127">
        <v>3.73708939526162</v>
      </c>
    </row>
    <row r="128" spans="1:4" x14ac:dyDescent="0.25">
      <c r="A128" s="6">
        <v>43477</v>
      </c>
      <c r="B128">
        <v>2.01835383945641</v>
      </c>
      <c r="C128">
        <v>51.209023682337701</v>
      </c>
      <c r="D128">
        <v>3.7919468014932498</v>
      </c>
    </row>
    <row r="129" spans="1:4" x14ac:dyDescent="0.25">
      <c r="A129" s="6">
        <v>43512</v>
      </c>
      <c r="B129">
        <v>2.0095978976548601</v>
      </c>
      <c r="C129">
        <v>51.468114587945799</v>
      </c>
      <c r="D129">
        <v>3.7578232206472202</v>
      </c>
    </row>
    <row r="130" spans="1:4" x14ac:dyDescent="0.25">
      <c r="A130" s="6">
        <v>43540</v>
      </c>
      <c r="B130">
        <v>2.0163105222444599</v>
      </c>
      <c r="C130">
        <v>50.654843716463297</v>
      </c>
      <c r="D130">
        <v>3.8281115183207501</v>
      </c>
    </row>
    <row r="131" spans="1:4" x14ac:dyDescent="0.25">
      <c r="A131" s="6">
        <v>43568</v>
      </c>
      <c r="B131">
        <v>1.97752877055633</v>
      </c>
      <c r="C131">
        <v>51.977450610460103</v>
      </c>
      <c r="D131">
        <v>3.6651460036552499</v>
      </c>
    </row>
    <row r="132" spans="1:4" x14ac:dyDescent="0.25">
      <c r="A132" s="6">
        <v>43603</v>
      </c>
      <c r="B132">
        <v>1.98700015651242</v>
      </c>
      <c r="C132">
        <v>52.221942622660102</v>
      </c>
      <c r="D132">
        <v>3.6654471654367602</v>
      </c>
    </row>
    <row r="133" spans="1:4" x14ac:dyDescent="0.25">
      <c r="A133" s="6">
        <v>43631</v>
      </c>
      <c r="B133">
        <v>1.99185515618163</v>
      </c>
      <c r="C133">
        <v>51.470842350622398</v>
      </c>
      <c r="D133">
        <v>3.7256914616553698</v>
      </c>
    </row>
    <row r="134" spans="1:4" x14ac:dyDescent="0.25">
      <c r="A134" s="6">
        <v>43659</v>
      </c>
      <c r="B134">
        <v>1.9869587659358801</v>
      </c>
      <c r="C134">
        <v>51.903786968057503</v>
      </c>
      <c r="D134">
        <v>3.68701293491758</v>
      </c>
    </row>
    <row r="135" spans="1:4" x14ac:dyDescent="0.25">
      <c r="A135" s="6">
        <v>43694</v>
      </c>
      <c r="B135">
        <v>1.97731222574003</v>
      </c>
      <c r="C135">
        <v>52.884814481096797</v>
      </c>
      <c r="D135">
        <v>3.6041479695201502</v>
      </c>
    </row>
    <row r="136" spans="1:4" x14ac:dyDescent="0.25">
      <c r="A136" s="6">
        <v>43722</v>
      </c>
      <c r="B136">
        <v>1.9723707192279401</v>
      </c>
      <c r="C136">
        <v>52.389600937138503</v>
      </c>
      <c r="D136">
        <v>3.6282177763818302</v>
      </c>
    </row>
    <row r="137" spans="1:4" x14ac:dyDescent="0.25">
      <c r="A137" s="6">
        <v>43750</v>
      </c>
      <c r="B137">
        <v>1.9823043057931999</v>
      </c>
      <c r="C137">
        <v>52.443230530842101</v>
      </c>
      <c r="D137">
        <v>3.64223210987879</v>
      </c>
    </row>
    <row r="138" spans="1:4" x14ac:dyDescent="0.25">
      <c r="A138" s="6">
        <v>43778</v>
      </c>
      <c r="B138">
        <v>1.99784920952561</v>
      </c>
      <c r="C138">
        <v>51.795146759909599</v>
      </c>
      <c r="D138">
        <v>3.7139578741083201</v>
      </c>
    </row>
    <row r="139" spans="1:4" x14ac:dyDescent="0.25">
      <c r="A139" s="6">
        <v>43806</v>
      </c>
      <c r="B139">
        <v>2.0066844485895601</v>
      </c>
      <c r="C139">
        <v>51.973263300009599</v>
      </c>
      <c r="D139">
        <v>3.7174627473433199</v>
      </c>
    </row>
    <row r="140" spans="1:4" x14ac:dyDescent="0.25">
      <c r="A140" s="6">
        <v>43848</v>
      </c>
      <c r="B140">
        <v>2.00075217144007</v>
      </c>
      <c r="C140">
        <v>52.615675066114299</v>
      </c>
      <c r="D140">
        <v>3.6632791133293798</v>
      </c>
    </row>
    <row r="141" spans="1:4" x14ac:dyDescent="0.25">
      <c r="A141" s="6">
        <v>43876</v>
      </c>
      <c r="B141">
        <v>1.99419394138455</v>
      </c>
      <c r="C141">
        <v>52.116757582142696</v>
      </c>
      <c r="D141">
        <v>3.6853795493089399</v>
      </c>
    </row>
    <row r="142" spans="1:4" x14ac:dyDescent="0.25">
      <c r="A142" s="6">
        <v>43904</v>
      </c>
      <c r="B142">
        <v>2.10485569687317</v>
      </c>
      <c r="C142">
        <v>52.000877251395103</v>
      </c>
      <c r="D142">
        <v>3.8902637154655499</v>
      </c>
    </row>
    <row r="143" spans="1:4" x14ac:dyDescent="0.25">
      <c r="A143" s="6">
        <v>43939</v>
      </c>
      <c r="B143">
        <v>3.9846295043663602</v>
      </c>
      <c r="C143">
        <v>18.8091584675159</v>
      </c>
      <c r="D143">
        <v>17.4812080786295</v>
      </c>
    </row>
    <row r="144" spans="1:4" x14ac:dyDescent="0.25">
      <c r="A144" s="6">
        <v>43967</v>
      </c>
      <c r="B144">
        <v>3.8314161227550998</v>
      </c>
      <c r="C144">
        <v>18.641196373501099</v>
      </c>
      <c r="D144">
        <v>17.049268852891</v>
      </c>
    </row>
    <row r="145" spans="1:4" x14ac:dyDescent="0.25">
      <c r="A145" s="6">
        <v>43995</v>
      </c>
      <c r="B145">
        <v>3.2635234253485699</v>
      </c>
      <c r="C145">
        <v>27.043335404307101</v>
      </c>
      <c r="D145">
        <v>10.768266825974001</v>
      </c>
    </row>
    <row r="146" spans="1:4" x14ac:dyDescent="0.25">
      <c r="A146" s="6">
        <v>44030</v>
      </c>
      <c r="B146">
        <v>3.1781870953192501</v>
      </c>
      <c r="C146">
        <v>28.450569995225301</v>
      </c>
      <c r="D146">
        <v>10.048409699505299</v>
      </c>
    </row>
    <row r="147" spans="1:4" x14ac:dyDescent="0.25">
      <c r="A147" s="6">
        <v>44058</v>
      </c>
      <c r="B147">
        <v>3.0166750081309899</v>
      </c>
      <c r="C147">
        <v>30.374664652943501</v>
      </c>
      <c r="D147">
        <v>9.0343036210902294</v>
      </c>
    </row>
    <row r="148" spans="1:4" x14ac:dyDescent="0.25">
      <c r="A148" s="6">
        <v>44086</v>
      </c>
      <c r="B148">
        <v>2.8965503017729999</v>
      </c>
      <c r="C148">
        <v>32.429367851447203</v>
      </c>
      <c r="D148">
        <v>8.1995046504090894</v>
      </c>
    </row>
    <row r="149" spans="1:4" x14ac:dyDescent="0.25">
      <c r="A149" s="6">
        <v>44121</v>
      </c>
      <c r="B149">
        <v>2.7325440125853002</v>
      </c>
      <c r="C149">
        <v>34.552228638166099</v>
      </c>
      <c r="D149">
        <v>7.32884718965889</v>
      </c>
    </row>
    <row r="150" spans="1:4" x14ac:dyDescent="0.25">
      <c r="A150" s="6">
        <v>44149</v>
      </c>
      <c r="B150">
        <v>2.6354923260825398</v>
      </c>
      <c r="C150">
        <v>36.1843219928544</v>
      </c>
      <c r="D150">
        <v>6.7890389800161897</v>
      </c>
    </row>
    <row r="151" spans="1:4" x14ac:dyDescent="0.25">
      <c r="A151" s="6">
        <v>44177</v>
      </c>
      <c r="B151">
        <v>2.6918977194817799</v>
      </c>
      <c r="C151">
        <v>34.677746579685397</v>
      </c>
      <c r="D151">
        <v>7.2034341508082402</v>
      </c>
    </row>
    <row r="152" spans="1:4" x14ac:dyDescent="0.25">
      <c r="A152" s="6">
        <v>44212</v>
      </c>
      <c r="B152">
        <v>2.6601424266465399</v>
      </c>
      <c r="C152">
        <v>35.968695107085701</v>
      </c>
      <c r="D152">
        <v>6.88641594333144</v>
      </c>
    </row>
    <row r="153" spans="1:4" x14ac:dyDescent="0.25">
      <c r="A153" s="6">
        <v>44240</v>
      </c>
      <c r="B153">
        <v>2.5960027892855</v>
      </c>
      <c r="C153">
        <v>36.9798742442009</v>
      </c>
      <c r="D153">
        <v>6.5595584580196196</v>
      </c>
    </row>
    <row r="154" spans="1:4" x14ac:dyDescent="0.25">
      <c r="A154" s="6">
        <v>44268</v>
      </c>
      <c r="B154">
        <v>2.50586702363473</v>
      </c>
      <c r="C154">
        <v>39.617376897177799</v>
      </c>
      <c r="D154">
        <v>5.9488937469903904</v>
      </c>
    </row>
    <row r="155" spans="1:4" x14ac:dyDescent="0.25">
      <c r="A155" s="6">
        <v>44303</v>
      </c>
      <c r="B155">
        <v>2.4080049340574301</v>
      </c>
      <c r="C155">
        <v>42.5981069959265</v>
      </c>
      <c r="D155">
        <v>5.3503953814174601</v>
      </c>
    </row>
    <row r="156" spans="1:4" x14ac:dyDescent="0.25">
      <c r="A156" s="6">
        <v>44331</v>
      </c>
      <c r="B156">
        <v>2.3480545307073002</v>
      </c>
      <c r="C156">
        <v>44.912756636931299</v>
      </c>
      <c r="D156">
        <v>4.9682907946258599</v>
      </c>
    </row>
    <row r="157" spans="1:4" x14ac:dyDescent="0.25">
      <c r="A157" s="6">
        <v>44359</v>
      </c>
      <c r="B157">
        <v>2.2903330792360999</v>
      </c>
      <c r="C157">
        <v>46.303575285198697</v>
      </c>
      <c r="D157">
        <v>4.7132102691957201</v>
      </c>
    </row>
    <row r="158" spans="1:4" x14ac:dyDescent="0.25">
      <c r="A158" s="6">
        <v>44394</v>
      </c>
      <c r="B158">
        <v>2.2578661450469202</v>
      </c>
      <c r="C158">
        <v>47.103544430863401</v>
      </c>
      <c r="D158">
        <v>4.5741523969916997</v>
      </c>
    </row>
    <row r="159" spans="1:4" x14ac:dyDescent="0.25">
      <c r="A159" s="6">
        <v>44422</v>
      </c>
      <c r="B159">
        <v>2.2125476121432799</v>
      </c>
      <c r="C159">
        <v>48.7142703530494</v>
      </c>
      <c r="D159">
        <v>4.3445628463484596</v>
      </c>
    </row>
    <row r="160" spans="1:4" x14ac:dyDescent="0.25">
      <c r="A160" s="6">
        <v>44457</v>
      </c>
      <c r="B160">
        <v>2.2042134370198898</v>
      </c>
      <c r="C160">
        <v>47.976545737078503</v>
      </c>
      <c r="D160">
        <v>4.3925470106431401</v>
      </c>
    </row>
    <row r="161" spans="1:4" x14ac:dyDescent="0.25">
      <c r="A161" s="6">
        <v>44485</v>
      </c>
      <c r="B161">
        <v>2.1085549479066499</v>
      </c>
      <c r="C161">
        <v>49.828686561508199</v>
      </c>
      <c r="D161">
        <v>4.0598131256632497</v>
      </c>
    </row>
    <row r="162" spans="1:4" x14ac:dyDescent="0.25">
      <c r="A162" s="6">
        <v>44513</v>
      </c>
      <c r="B162">
        <v>2.0452968013756001</v>
      </c>
      <c r="C162">
        <v>51.815736198954397</v>
      </c>
      <c r="D162">
        <v>3.79735903201684</v>
      </c>
    </row>
    <row r="163" spans="1:4" x14ac:dyDescent="0.25">
      <c r="A163" s="6">
        <v>44541</v>
      </c>
      <c r="B163">
        <v>1.9946954251964999</v>
      </c>
      <c r="C163">
        <v>54.181677007709901</v>
      </c>
      <c r="D163">
        <v>3.55077292963129</v>
      </c>
    </row>
    <row r="164" spans="1:4" x14ac:dyDescent="0.25">
      <c r="A164" s="6">
        <v>44576</v>
      </c>
      <c r="B164">
        <v>1.99820861520009</v>
      </c>
      <c r="C164">
        <v>54.3691732811874</v>
      </c>
      <c r="D164">
        <v>3.5449732593100101</v>
      </c>
    </row>
    <row r="165" spans="1:4" x14ac:dyDescent="0.25">
      <c r="A165" s="6">
        <v>44604</v>
      </c>
      <c r="B165">
        <v>1.9900854544292099</v>
      </c>
      <c r="C165">
        <v>54.079418324773897</v>
      </c>
      <c r="D165">
        <v>3.54931882804954</v>
      </c>
    </row>
    <row r="166" spans="1:4" x14ac:dyDescent="0.25">
      <c r="A166" s="6">
        <v>44632</v>
      </c>
      <c r="B166">
        <v>1.93911542865147</v>
      </c>
      <c r="C166">
        <v>56.7315167174946</v>
      </c>
      <c r="D166">
        <v>3.3050869876793199</v>
      </c>
    </row>
    <row r="167" spans="1:4" x14ac:dyDescent="0.25">
      <c r="A167" s="6">
        <v>44667</v>
      </c>
      <c r="B167">
        <v>1.9160359954675099</v>
      </c>
      <c r="C167">
        <v>57.572204982051197</v>
      </c>
      <c r="D167">
        <v>3.2208651054106698</v>
      </c>
    </row>
    <row r="168" spans="1:4" x14ac:dyDescent="0.25">
      <c r="A168" s="6">
        <v>44695</v>
      </c>
      <c r="B168">
        <v>1.9192572964158701</v>
      </c>
      <c r="C168">
        <v>56.888252945837998</v>
      </c>
      <c r="D168">
        <v>3.2636261737822401</v>
      </c>
    </row>
    <row r="169" spans="1:4" x14ac:dyDescent="0.25">
      <c r="A169" s="6">
        <v>44730</v>
      </c>
      <c r="B169">
        <v>1.9246766944820399</v>
      </c>
      <c r="C169">
        <v>56.115492434799897</v>
      </c>
      <c r="D169">
        <v>3.3161114506660199</v>
      </c>
    </row>
    <row r="170" spans="1:4" x14ac:dyDescent="0.25">
      <c r="A170" s="6">
        <v>44758</v>
      </c>
      <c r="B170">
        <v>1.9351220468210799</v>
      </c>
      <c r="C170">
        <v>55.5717539112322</v>
      </c>
      <c r="D170">
        <v>3.3650272503632399</v>
      </c>
    </row>
    <row r="171" spans="1:4" x14ac:dyDescent="0.25">
      <c r="A171" s="6">
        <v>44786</v>
      </c>
      <c r="B171">
        <v>1.9328580222646601</v>
      </c>
      <c r="C171">
        <v>55.377871014814801</v>
      </c>
      <c r="D171">
        <v>3.3725936744132601</v>
      </c>
    </row>
    <row r="172" spans="1:4" x14ac:dyDescent="0.25">
      <c r="A172" s="6">
        <v>44821</v>
      </c>
      <c r="B172">
        <v>1.92376701746213</v>
      </c>
      <c r="C172">
        <v>55.457906122135803</v>
      </c>
      <c r="D172">
        <v>3.3525809064193699</v>
      </c>
    </row>
    <row r="173" spans="1:4" x14ac:dyDescent="0.25">
      <c r="A173" s="6">
        <v>44849</v>
      </c>
      <c r="B173">
        <v>1.9255752479581001</v>
      </c>
      <c r="C173">
        <v>55.203080548172501</v>
      </c>
      <c r="D173">
        <v>3.3705943560613698</v>
      </c>
    </row>
    <row r="174" spans="1:4" x14ac:dyDescent="0.25">
      <c r="A174" s="6">
        <v>44877</v>
      </c>
      <c r="B174">
        <v>1.9472090051176001</v>
      </c>
      <c r="C174">
        <v>53.640697051188198</v>
      </c>
      <c r="D174">
        <v>3.50293641776189</v>
      </c>
    </row>
    <row r="175" spans="1:4" x14ac:dyDescent="0.25">
      <c r="A175" s="6">
        <v>44905</v>
      </c>
      <c r="B175">
        <v>1.9490707673954899</v>
      </c>
      <c r="C175">
        <v>54.251560946367597</v>
      </c>
      <c r="D175">
        <v>3.46805846831466</v>
      </c>
    </row>
    <row r="176" spans="1:4" x14ac:dyDescent="0.25">
      <c r="A176" s="6">
        <v>44940</v>
      </c>
      <c r="B176">
        <v>1.9485458168192999</v>
      </c>
      <c r="C176">
        <v>54.419032060220196</v>
      </c>
      <c r="D176">
        <v>3.4568556787553901</v>
      </c>
    </row>
    <row r="177" spans="1:4" x14ac:dyDescent="0.25">
      <c r="A177" s="6">
        <v>44975</v>
      </c>
      <c r="B177">
        <v>1.9618691557383601</v>
      </c>
      <c r="C177">
        <v>54.716551774647897</v>
      </c>
      <c r="D177">
        <v>3.4614040467852401</v>
      </c>
    </row>
    <row r="178" spans="1:4" x14ac:dyDescent="0.25">
      <c r="A178" s="6">
        <v>45003</v>
      </c>
      <c r="B178">
        <v>1.9775219445376999</v>
      </c>
      <c r="C178">
        <v>53.463860304457597</v>
      </c>
      <c r="D178">
        <v>3.5668698440027402</v>
      </c>
    </row>
    <row r="179" spans="1:4" x14ac:dyDescent="0.25">
      <c r="A179" s="6">
        <v>45031</v>
      </c>
      <c r="B179">
        <v>1.9916000970405301</v>
      </c>
      <c r="C179">
        <v>52.614400790082499</v>
      </c>
      <c r="D179">
        <v>3.64721837286235</v>
      </c>
    </row>
    <row r="180" spans="1:4" x14ac:dyDescent="0.25">
      <c r="A180" s="6">
        <v>45059</v>
      </c>
      <c r="B180">
        <v>1.9846542564952501</v>
      </c>
      <c r="C180">
        <v>52.003770634902303</v>
      </c>
      <c r="D180">
        <v>3.676073640762</v>
      </c>
    </row>
    <row r="181" spans="1:4" x14ac:dyDescent="0.25">
      <c r="A181" s="6">
        <v>45094</v>
      </c>
      <c r="B181">
        <v>2.0080095739024602</v>
      </c>
      <c r="C181">
        <v>51.6045011070618</v>
      </c>
      <c r="D181">
        <v>3.7454123084286599</v>
      </c>
    </row>
    <row r="182" spans="1:4" x14ac:dyDescent="0.25">
      <c r="A182" s="6">
        <v>45122</v>
      </c>
      <c r="B182">
        <v>1.9966537814191501</v>
      </c>
      <c r="C182">
        <v>51.773810807350401</v>
      </c>
      <c r="D182">
        <v>3.7132909240962202</v>
      </c>
    </row>
    <row r="183" spans="1:4" x14ac:dyDescent="0.25">
      <c r="A183" s="6">
        <v>45150</v>
      </c>
      <c r="B183">
        <v>2.0145846301536698</v>
      </c>
      <c r="C183">
        <v>50.472228872390303</v>
      </c>
      <c r="D183">
        <v>3.8382681205366498</v>
      </c>
    </row>
    <row r="184" spans="1:4" x14ac:dyDescent="0.25">
      <c r="A184" s="6">
        <v>45185</v>
      </c>
      <c r="B184">
        <v>1.99954093978958</v>
      </c>
      <c r="C184">
        <v>50.727738424087804</v>
      </c>
      <c r="D184">
        <v>3.7922323395267599</v>
      </c>
    </row>
    <row r="185" spans="1:4" x14ac:dyDescent="0.25">
      <c r="A185" s="6">
        <v>45213</v>
      </c>
      <c r="B185">
        <v>1.9934889085949301</v>
      </c>
      <c r="C185">
        <v>50.631730012401299</v>
      </c>
      <c r="D185">
        <v>3.7880866806229498</v>
      </c>
    </row>
    <row r="186" spans="1:4" x14ac:dyDescent="0.25">
      <c r="A186" s="6">
        <v>45241</v>
      </c>
      <c r="B186">
        <v>2.0179436506931601</v>
      </c>
      <c r="C186">
        <v>49.657140494285201</v>
      </c>
      <c r="D186">
        <v>3.9050611800295698</v>
      </c>
    </row>
    <row r="187" spans="1:4" x14ac:dyDescent="0.25">
      <c r="A187" s="6">
        <v>45269</v>
      </c>
      <c r="B187">
        <v>2.0012353770048801</v>
      </c>
      <c r="C187">
        <v>50.697166129959903</v>
      </c>
      <c r="D187">
        <v>3.7975257688611102</v>
      </c>
    </row>
    <row r="188" spans="1:4" x14ac:dyDescent="0.25">
      <c r="A188" s="6">
        <v>45304</v>
      </c>
      <c r="B188">
        <v>1.97626271815095</v>
      </c>
      <c r="C188">
        <v>52.075056004351502</v>
      </c>
      <c r="D188">
        <v>3.6562710491801602</v>
      </c>
    </row>
    <row r="189" spans="1:4" x14ac:dyDescent="0.25">
      <c r="A189" s="6">
        <v>45339</v>
      </c>
      <c r="B189">
        <v>1.99404657690831</v>
      </c>
      <c r="C189">
        <v>51.078563827315897</v>
      </c>
      <c r="D189">
        <v>3.75720463289968</v>
      </c>
    </row>
    <row r="190" spans="1:4" x14ac:dyDescent="0.25">
      <c r="A190" s="6">
        <v>45367</v>
      </c>
      <c r="B190">
        <v>2.01100710174445</v>
      </c>
      <c r="C190">
        <v>50.570250402393299</v>
      </c>
      <c r="D190">
        <v>3.8245701932598202</v>
      </c>
    </row>
    <row r="191" spans="1:4" x14ac:dyDescent="0.25">
      <c r="A191" s="6">
        <v>45395</v>
      </c>
      <c r="B191">
        <v>2.0018126778137502</v>
      </c>
      <c r="C191">
        <v>50.214975665946703</v>
      </c>
      <c r="D191">
        <v>3.8336572227214698</v>
      </c>
    </row>
    <row r="192" spans="1:4" x14ac:dyDescent="0.25">
      <c r="A192" s="6">
        <v>45430</v>
      </c>
      <c r="B192">
        <v>2.01170919077498</v>
      </c>
      <c r="C192">
        <v>49.681739308726399</v>
      </c>
      <c r="D192">
        <v>3.8916134426481199</v>
      </c>
    </row>
    <row r="193" spans="1:4" x14ac:dyDescent="0.25">
      <c r="A193" s="6">
        <v>45458</v>
      </c>
      <c r="B193">
        <v>2.0415049318173701</v>
      </c>
      <c r="C193">
        <v>48.2361350099753</v>
      </c>
      <c r="D193">
        <v>4.06046292980509</v>
      </c>
    </row>
    <row r="194" spans="1:4" x14ac:dyDescent="0.25">
      <c r="A194" s="6">
        <v>45486</v>
      </c>
      <c r="B194">
        <v>2.0493872415072101</v>
      </c>
      <c r="C194">
        <v>47.936078745048697</v>
      </c>
      <c r="D194">
        <v>4.0999662623099598</v>
      </c>
    </row>
    <row r="195" spans="1:4" x14ac:dyDescent="0.25">
      <c r="A195" s="6">
        <v>45521</v>
      </c>
      <c r="B195">
        <v>2.0564452156083801</v>
      </c>
      <c r="C195">
        <v>47.177863005566799</v>
      </c>
      <c r="D195">
        <v>4.1768540879465901</v>
      </c>
    </row>
    <row r="196" spans="1:4" x14ac:dyDescent="0.25">
      <c r="A196" s="6">
        <v>45549</v>
      </c>
      <c r="B196">
        <v>2.05447168134403</v>
      </c>
      <c r="C196">
        <v>46.971700975793098</v>
      </c>
      <c r="D196">
        <v>4.1905610207672197</v>
      </c>
    </row>
    <row r="197" spans="1:4" x14ac:dyDescent="0.25">
      <c r="A197" s="6">
        <v>45577</v>
      </c>
      <c r="B197">
        <v>2.0629448722471699</v>
      </c>
      <c r="C197">
        <v>47.099778117310599</v>
      </c>
      <c r="D197">
        <v>4.1961566544744597</v>
      </c>
    </row>
    <row r="198" spans="1:4" x14ac:dyDescent="0.25">
      <c r="A198" s="6">
        <v>45605</v>
      </c>
      <c r="B198">
        <v>2.0522297899172801</v>
      </c>
      <c r="C198">
        <v>47.9583435441712</v>
      </c>
      <c r="D198">
        <v>4.1035918068918198</v>
      </c>
    </row>
    <row r="199" spans="1:4" x14ac:dyDescent="0.25">
      <c r="A199" s="6">
        <v>45633</v>
      </c>
      <c r="B199">
        <v>2.06050249758569</v>
      </c>
      <c r="C199">
        <v>48.1257365161633</v>
      </c>
      <c r="D199">
        <v>4.1057121196533402</v>
      </c>
    </row>
    <row r="200" spans="1:4" x14ac:dyDescent="0.25">
      <c r="A200" s="6">
        <v>45675</v>
      </c>
      <c r="B200">
        <v>2.0435714227353601</v>
      </c>
      <c r="C200">
        <v>48.161241701693498</v>
      </c>
      <c r="D200">
        <v>4.0704691354403</v>
      </c>
    </row>
    <row r="201" spans="1:4" x14ac:dyDescent="0.25">
      <c r="A201" s="6">
        <v>45703</v>
      </c>
      <c r="B201">
        <v>2.0409824886390502</v>
      </c>
      <c r="C201">
        <v>48.215004923244798</v>
      </c>
      <c r="D201">
        <v>4.0611727950179102</v>
      </c>
    </row>
    <row r="202" spans="1:4" x14ac:dyDescent="0.25">
      <c r="A202" s="6">
        <v>45731</v>
      </c>
      <c r="B202">
        <v>2.0481632433996499</v>
      </c>
      <c r="C202">
        <v>47.928154183510998</v>
      </c>
      <c r="D202">
        <v>4.0982676372564697</v>
      </c>
    </row>
    <row r="203" spans="1:4" x14ac:dyDescent="0.25">
      <c r="A203" s="6">
        <v>45759</v>
      </c>
      <c r="B203">
        <v>2.0407569362429001</v>
      </c>
      <c r="C203">
        <v>47.60912213212</v>
      </c>
      <c r="D203">
        <v>4.1102958849768498</v>
      </c>
    </row>
    <row r="204" spans="1:4" x14ac:dyDescent="0.25">
      <c r="A204" s="6">
        <v>45794</v>
      </c>
      <c r="B204">
        <v>2.05958968643758</v>
      </c>
      <c r="C204">
        <v>46.760542582945298</v>
      </c>
      <c r="D204">
        <v>4.2187302465160101</v>
      </c>
    </row>
    <row r="205" spans="1:4" x14ac:dyDescent="0.25">
      <c r="A205" s="6">
        <v>45822</v>
      </c>
      <c r="B205">
        <v>2.0737667588228601</v>
      </c>
      <c r="C205">
        <v>46.300203172337298</v>
      </c>
      <c r="D205">
        <v>4.28694763273303</v>
      </c>
    </row>
    <row r="206" spans="1:4" x14ac:dyDescent="0.25">
      <c r="A206" s="6">
        <v>45850</v>
      </c>
      <c r="B206">
        <v>2.0572860139162001</v>
      </c>
      <c r="C206">
        <v>46.025294871906397</v>
      </c>
      <c r="D206">
        <v>4.2786513868742899</v>
      </c>
    </row>
    <row r="207" spans="1:4" x14ac:dyDescent="0.25">
      <c r="A207" s="6">
        <v>45885</v>
      </c>
      <c r="B207">
        <v>2.0762835601302299</v>
      </c>
      <c r="C207">
        <v>45.7478164264055</v>
      </c>
      <c r="D207">
        <v>4.3415005420170498</v>
      </c>
    </row>
    <row r="208" spans="1:4" x14ac:dyDescent="0.25">
      <c r="A208" s="6">
        <v>45913</v>
      </c>
      <c r="B208">
        <v>2.0782782927782502</v>
      </c>
      <c r="C208">
        <v>45.376910180343302</v>
      </c>
      <c r="D208">
        <v>4.3794543013044498</v>
      </c>
    </row>
    <row r="209" spans="1:4" x14ac:dyDescent="0.25">
      <c r="A209" s="6">
        <v>45948</v>
      </c>
      <c r="B209">
        <v>2.0905081028130601</v>
      </c>
      <c r="C209">
        <v>45.1751122971976</v>
      </c>
      <c r="D209">
        <v>4.4228936066447702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2" sqref="M12"/>
    </sheetView>
  </sheetViews>
  <sheetFormatPr defaultColWidth="11.42578125" defaultRowHeight="15" x14ac:dyDescent="0.25"/>
  <cols>
    <col min="2" max="11" width="11.85546875" customWidth="1"/>
  </cols>
  <sheetData>
    <row r="1" spans="1:12" x14ac:dyDescent="0.25">
      <c r="A1" s="9"/>
      <c r="B1" s="19" t="s">
        <v>1</v>
      </c>
      <c r="C1" s="20"/>
      <c r="D1" s="20"/>
      <c r="E1" s="20"/>
      <c r="F1" s="21"/>
      <c r="G1" s="20" t="s">
        <v>2</v>
      </c>
      <c r="H1" s="20"/>
      <c r="I1" s="20"/>
      <c r="J1" s="20"/>
      <c r="K1" s="20"/>
    </row>
    <row r="2" spans="1:12" x14ac:dyDescent="0.25">
      <c r="A2" s="11" t="s">
        <v>57</v>
      </c>
      <c r="B2" s="12" t="s">
        <v>61</v>
      </c>
      <c r="C2" s="12" t="s">
        <v>62</v>
      </c>
      <c r="D2" s="7" t="s">
        <v>63</v>
      </c>
      <c r="E2" s="12" t="s">
        <v>64</v>
      </c>
      <c r="F2" s="11" t="s">
        <v>65</v>
      </c>
      <c r="G2" s="12" t="s">
        <v>66</v>
      </c>
      <c r="H2" s="12" t="s">
        <v>67</v>
      </c>
      <c r="I2" s="7" t="s">
        <v>68</v>
      </c>
      <c r="J2" s="12" t="s">
        <v>69</v>
      </c>
      <c r="K2" s="12" t="s">
        <v>70</v>
      </c>
    </row>
    <row r="3" spans="1:12" x14ac:dyDescent="0.25">
      <c r="A3" s="6">
        <v>45913</v>
      </c>
      <c r="B3">
        <v>4.18</v>
      </c>
      <c r="C3">
        <v>4.2300000000000004</v>
      </c>
      <c r="D3" s="7">
        <v>4.32</v>
      </c>
      <c r="E3">
        <v>4.41</v>
      </c>
      <c r="F3">
        <v>4.46</v>
      </c>
      <c r="G3" s="10">
        <v>4.2</v>
      </c>
      <c r="H3">
        <v>4.25</v>
      </c>
      <c r="I3" s="7">
        <v>4.34</v>
      </c>
      <c r="J3">
        <v>4.43</v>
      </c>
      <c r="K3">
        <v>4.4800000000000004</v>
      </c>
    </row>
    <row r="4" spans="1:12" x14ac:dyDescent="0.25">
      <c r="A4" s="6">
        <v>45948</v>
      </c>
      <c r="B4">
        <v>4.07</v>
      </c>
      <c r="C4">
        <v>4.16</v>
      </c>
      <c r="D4" s="7">
        <v>4.3499999999999996</v>
      </c>
      <c r="E4">
        <v>4.53</v>
      </c>
      <c r="F4">
        <v>4.62</v>
      </c>
      <c r="I4" s="7"/>
      <c r="L4" s="22" t="s">
        <v>82</v>
      </c>
    </row>
  </sheetData>
  <mergeCells count="2">
    <mergeCell ref="B1:F1"/>
    <mergeCell ref="G1:K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3" sqref="G13"/>
    </sheetView>
  </sheetViews>
  <sheetFormatPr defaultColWidth="11.42578125" defaultRowHeight="15" x14ac:dyDescent="0.25"/>
  <cols>
    <col min="3" max="5" width="16.7109375" customWidth="1"/>
  </cols>
  <sheetData>
    <row r="1" spans="1:7" x14ac:dyDescent="0.25">
      <c r="A1" s="7"/>
      <c r="B1" s="7"/>
      <c r="C1" s="20" t="s">
        <v>54</v>
      </c>
      <c r="D1" s="21"/>
      <c r="E1" s="7"/>
    </row>
    <row r="2" spans="1:7" x14ac:dyDescent="0.25">
      <c r="A2" s="13" t="s">
        <v>57</v>
      </c>
      <c r="B2" s="14" t="s">
        <v>71</v>
      </c>
      <c r="C2" s="13" t="s">
        <v>59</v>
      </c>
      <c r="D2" s="14" t="s">
        <v>58</v>
      </c>
      <c r="E2" s="13" t="s">
        <v>72</v>
      </c>
    </row>
    <row r="3" spans="1:7" x14ac:dyDescent="0.25">
      <c r="A3" s="15">
        <v>45913</v>
      </c>
      <c r="B3" s="15" t="s">
        <v>73</v>
      </c>
      <c r="C3" s="16">
        <v>0</v>
      </c>
      <c r="D3" s="18">
        <v>0</v>
      </c>
      <c r="E3" s="16">
        <v>4.32</v>
      </c>
    </row>
    <row r="4" spans="1:7" x14ac:dyDescent="0.25">
      <c r="A4" s="6">
        <v>45913</v>
      </c>
      <c r="B4" t="s">
        <v>74</v>
      </c>
      <c r="C4">
        <v>0.01</v>
      </c>
      <c r="D4" s="17">
        <v>0</v>
      </c>
      <c r="E4">
        <v>4.34</v>
      </c>
    </row>
    <row r="5" spans="1:7" x14ac:dyDescent="0.25">
      <c r="A5" s="6">
        <v>45948</v>
      </c>
      <c r="B5" t="s">
        <v>73</v>
      </c>
      <c r="C5">
        <v>0.01</v>
      </c>
      <c r="D5">
        <v>0.01</v>
      </c>
      <c r="E5">
        <v>4.3499999999999996</v>
      </c>
      <c r="G5" s="22" t="s">
        <v>83</v>
      </c>
    </row>
  </sheetData>
  <mergeCells count="1">
    <mergeCell ref="C1:D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9" sqref="L9"/>
    </sheetView>
  </sheetViews>
  <sheetFormatPr defaultColWidth="11.42578125" defaultRowHeight="15" x14ac:dyDescent="0.25"/>
  <cols>
    <col min="3" max="14" width="13.85546875" customWidth="1"/>
  </cols>
  <sheetData>
    <row r="1" spans="1:16" x14ac:dyDescent="0.25">
      <c r="C1" s="23" t="s">
        <v>84</v>
      </c>
      <c r="D1" s="20"/>
      <c r="E1" s="20"/>
      <c r="F1" s="20"/>
      <c r="G1" s="20"/>
      <c r="H1" s="20"/>
      <c r="I1" s="21"/>
      <c r="J1" s="24" t="s">
        <v>85</v>
      </c>
      <c r="K1" s="24"/>
      <c r="L1" s="24"/>
      <c r="M1" s="24"/>
      <c r="N1" s="24"/>
    </row>
    <row r="2" spans="1:16" x14ac:dyDescent="0.25">
      <c r="A2" s="12" t="s">
        <v>57</v>
      </c>
      <c r="B2" s="11" t="s">
        <v>71</v>
      </c>
      <c r="C2" s="12" t="s">
        <v>75</v>
      </c>
      <c r="D2" s="12" t="s">
        <v>76</v>
      </c>
      <c r="E2" s="12" t="s">
        <v>77</v>
      </c>
      <c r="F2" s="12" t="s">
        <v>78</v>
      </c>
      <c r="G2" s="12" t="s">
        <v>79</v>
      </c>
      <c r="H2" s="12" t="s">
        <v>80</v>
      </c>
      <c r="I2" s="11" t="s">
        <v>81</v>
      </c>
      <c r="J2" s="12" t="s">
        <v>87</v>
      </c>
      <c r="K2" s="25" t="str">
        <f>"-0.4 to -0.2 pp"</f>
        <v>-0.4 to -0.2 pp</v>
      </c>
      <c r="L2" s="25" t="str">
        <f>"-0.1 to +0.1 pp"</f>
        <v>-0.1 to +0.1 pp</v>
      </c>
      <c r="M2" s="25" t="str">
        <f>"+0.2 to +0.4 pp"</f>
        <v>+0.2 to +0.4 pp</v>
      </c>
      <c r="N2" s="25" t="s">
        <v>88</v>
      </c>
    </row>
    <row r="3" spans="1:16" x14ac:dyDescent="0.25">
      <c r="A3" s="6">
        <v>45913</v>
      </c>
      <c r="B3" t="s">
        <v>73</v>
      </c>
      <c r="C3">
        <v>4.0999999999999996</v>
      </c>
      <c r="D3">
        <v>8</v>
      </c>
      <c r="E3">
        <v>18.899999999999999</v>
      </c>
      <c r="F3">
        <v>27.7</v>
      </c>
      <c r="G3">
        <v>24.4</v>
      </c>
      <c r="H3">
        <v>11</v>
      </c>
      <c r="I3" s="28">
        <v>5.9</v>
      </c>
    </row>
    <row r="4" spans="1:16" x14ac:dyDescent="0.25">
      <c r="A4" s="6">
        <v>45913</v>
      </c>
      <c r="B4" t="s">
        <v>74</v>
      </c>
      <c r="C4">
        <v>3.5</v>
      </c>
      <c r="D4">
        <v>6.1</v>
      </c>
      <c r="E4">
        <v>15.4</v>
      </c>
      <c r="F4">
        <v>28.2</v>
      </c>
      <c r="G4">
        <v>26.5</v>
      </c>
      <c r="H4">
        <v>12.8</v>
      </c>
      <c r="I4" s="28">
        <v>7.5</v>
      </c>
    </row>
    <row r="5" spans="1:16" x14ac:dyDescent="0.25">
      <c r="A5" s="6">
        <v>45948</v>
      </c>
      <c r="B5" t="s">
        <v>73</v>
      </c>
      <c r="I5" s="28"/>
      <c r="J5" s="27">
        <v>4.7</v>
      </c>
      <c r="K5" s="26">
        <v>19</v>
      </c>
      <c r="L5" s="26">
        <v>41.7</v>
      </c>
      <c r="M5" s="26">
        <v>26.8</v>
      </c>
      <c r="N5" s="26">
        <v>7.7</v>
      </c>
      <c r="O5" s="26"/>
      <c r="P5" s="22" t="s">
        <v>86</v>
      </c>
    </row>
  </sheetData>
  <mergeCells count="2">
    <mergeCell ref="C1:I1"/>
    <mergeCell ref="J1:N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1. Rates</vt:lpstr>
      <vt:lpstr>2. Chicago Fed Real-Time UR</vt:lpstr>
      <vt:lpstr>3. Real-Time UR Contributions</vt:lpstr>
      <vt:lpstr>4. Real-Time UR Probs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2019-01-24T21:49:13Z</dcterms:created>
  <dcterms:modified xsi:type="dcterms:W3CDTF">2025-10-24T19:11:44Z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{86AE5DC7-D235-4E0B-A290-D2B7AF9BB13E}</vt:lpwstr>
  </property>
</Properties>
</file>